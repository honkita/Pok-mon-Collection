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litelu/Documents/Pokémon/"/>
    </mc:Choice>
  </mc:AlternateContent>
  <xr:revisionPtr revIDLastSave="0" documentId="13_ncr:1_{2A7D3BB6-5AD7-CB49-B6B6-F60239778CFC}" xr6:coauthVersionLast="47" xr6:coauthVersionMax="47" xr10:uidLastSave="{00000000-0000-0000-0000-000000000000}"/>
  <bookViews>
    <workbookView xWindow="0" yWindow="740" windowWidth="29400" windowHeight="17160" activeTab="8" xr2:uid="{A0040DE8-0F53-D14C-AFAE-5C67F9B5FDCC}"/>
  </bookViews>
  <sheets>
    <sheet name="Completion" sheetId="6" r:id="rId1"/>
    <sheet name="Colours" sheetId="8" r:id="rId2"/>
    <sheet name="Rowlet" sheetId="3" r:id="rId3"/>
    <sheet name="Dartrix" sheetId="4" r:id="rId4"/>
    <sheet name="Decidueye" sheetId="5" r:id="rId5"/>
    <sheet name="Oshawott" sheetId="9" r:id="rId6"/>
    <sheet name="Dewott" sheetId="10" r:id="rId7"/>
    <sheet name="Samurott" sheetId="11" r:id="rId8"/>
    <sheet name="Arven" sheetId="12" r:id="rId9"/>
    <sheet name="Crown Zenith" sheetId="13" r:id="rId10"/>
    <sheet name="JP Cards" sheetId="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E8" i="6"/>
  <c r="E9" i="6"/>
  <c r="D3" i="6" a="1"/>
  <c r="D7" i="6" a="1"/>
  <c r="D9" i="6" a="1"/>
  <c r="D6" i="6" a="1"/>
  <c r="D4" i="6" a="1"/>
  <c r="D8" i="6" a="1"/>
  <c r="D5" i="6" a="1"/>
  <c r="C3" i="6" a="1"/>
  <c r="C4" i="6" a="1"/>
  <c r="C8" i="6" a="1"/>
  <c r="C5" i="6" a="1"/>
  <c r="C9" i="6" a="1"/>
  <c r="C6" i="6" a="1"/>
  <c r="C7" i="6" a="1"/>
  <c r="B3" i="6" a="1"/>
  <c r="B8" i="6" a="1"/>
  <c r="B4" i="6" a="1"/>
  <c r="B9" i="6" a="1"/>
  <c r="B5" i="6" a="1"/>
  <c r="B7" i="6" a="1"/>
  <c r="B6" i="6" a="1"/>
  <c r="D5" i="6" l="1"/>
  <c r="D8" i="6"/>
  <c r="D4" i="6"/>
  <c r="D6" i="6"/>
  <c r="D9" i="6"/>
  <c r="D7" i="6"/>
  <c r="D3" i="6"/>
  <c r="C7" i="6"/>
  <c r="C6" i="6"/>
  <c r="C9" i="6"/>
  <c r="C5" i="6"/>
  <c r="C8" i="6"/>
  <c r="C4" i="6"/>
  <c r="C3" i="6"/>
  <c r="B6" i="6"/>
  <c r="B7" i="6"/>
  <c r="B5" i="6"/>
  <c r="B9" i="6"/>
  <c r="B4" i="6"/>
  <c r="B8" i="6"/>
  <c r="B3" i="6"/>
  <c r="C2" i="6" a="1"/>
  <c r="B2" i="6" a="1"/>
  <c r="C2" i="6" l="1"/>
  <c r="B2" i="6"/>
  <c r="E2" i="6" l="1"/>
  <c r="D2" i="6" a="1"/>
  <c r="D2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<sst xmlns="http://schemas.openxmlformats.org/spreadsheetml/2006/main" count="747" uniqueCount="408">
  <si>
    <t>#</t>
  </si>
  <si>
    <t>Name</t>
  </si>
  <si>
    <t>Set</t>
  </si>
  <si>
    <t>Rowlet</t>
  </si>
  <si>
    <t>9/149</t>
  </si>
  <si>
    <t>Sun &amp; Moon</t>
  </si>
  <si>
    <t>Variation/Rarity</t>
  </si>
  <si>
    <t>Normal</t>
  </si>
  <si>
    <t>Reverse</t>
  </si>
  <si>
    <t>Cosmos Holo</t>
  </si>
  <si>
    <t>Water Web</t>
  </si>
  <si>
    <t>Kabu Fukase (2017)</t>
  </si>
  <si>
    <t>Year</t>
  </si>
  <si>
    <t>Owned</t>
  </si>
  <si>
    <t>SM153</t>
  </si>
  <si>
    <t>SM Black Star Promos</t>
  </si>
  <si>
    <t>SM22</t>
  </si>
  <si>
    <t>SM01</t>
  </si>
  <si>
    <t>McDonald's Collection 2017</t>
  </si>
  <si>
    <t>1/12</t>
  </si>
  <si>
    <t>1/236</t>
  </si>
  <si>
    <t>214/236</t>
  </si>
  <si>
    <t>215/236</t>
  </si>
  <si>
    <t>237/236</t>
  </si>
  <si>
    <t>Rowlet and Alolan Exeggutor-GX</t>
  </si>
  <si>
    <t>TAG TEAM</t>
  </si>
  <si>
    <t>Unified Minds</t>
  </si>
  <si>
    <t>TAG TEAM Rainbow</t>
  </si>
  <si>
    <t>2019</t>
  </si>
  <si>
    <t>2020</t>
  </si>
  <si>
    <t>2021</t>
  </si>
  <si>
    <t>2022</t>
  </si>
  <si>
    <t>SV2/SV94</t>
  </si>
  <si>
    <t>2016</t>
  </si>
  <si>
    <t>Holo</t>
  </si>
  <si>
    <t>General Mills</t>
  </si>
  <si>
    <t>25th Jumbo Card</t>
  </si>
  <si>
    <t>Yellow A Alternate</t>
  </si>
  <si>
    <t>Hidden Fates</t>
  </si>
  <si>
    <t>Cosmic Eclipse</t>
  </si>
  <si>
    <t>18/236</t>
  </si>
  <si>
    <t>17/236</t>
  </si>
  <si>
    <t>SWSH220</t>
  </si>
  <si>
    <t>SWSH Black Star Promos</t>
  </si>
  <si>
    <t>Darkness Ablaze</t>
  </si>
  <si>
    <t>011/189</t>
  </si>
  <si>
    <t>006/072</t>
  </si>
  <si>
    <t>Shining Fates</t>
  </si>
  <si>
    <t>7/25</t>
  </si>
  <si>
    <t>McDonald's Collection 2021</t>
  </si>
  <si>
    <t>Confetti Holo</t>
  </si>
  <si>
    <t>SV001/SV122</t>
  </si>
  <si>
    <t>019/189</t>
  </si>
  <si>
    <t>Astral Radiance</t>
  </si>
  <si>
    <t>2/15</t>
  </si>
  <si>
    <t>McDonald's Match Battle 2022</t>
  </si>
  <si>
    <t>013/197</t>
  </si>
  <si>
    <t>003/064</t>
  </si>
  <si>
    <t>Obsidian Flames</t>
  </si>
  <si>
    <t>Shrouded Fable</t>
  </si>
  <si>
    <t>モクロー</t>
  </si>
  <si>
    <t>Sun &amp; Moon Promos</t>
  </si>
  <si>
    <t>290/SM-P</t>
  </si>
  <si>
    <t>006/067</t>
  </si>
  <si>
    <t>Space Juggler</t>
  </si>
  <si>
    <t>071/SV-P</t>
  </si>
  <si>
    <t>Nakano Styling Tanto</t>
  </si>
  <si>
    <t>Scarlet &amp; Violet Promos</t>
  </si>
  <si>
    <t>Datrix</t>
  </si>
  <si>
    <t>Dartrix</t>
  </si>
  <si>
    <t>10/149</t>
  </si>
  <si>
    <t>19/236</t>
  </si>
  <si>
    <t>SV3/SV94</t>
  </si>
  <si>
    <t>012/189</t>
  </si>
  <si>
    <t>007/072</t>
  </si>
  <si>
    <t>Rowlet Scream</t>
  </si>
  <si>
    <t>004/064</t>
  </si>
  <si>
    <t>014/197</t>
  </si>
  <si>
    <t>020/189</t>
  </si>
  <si>
    <t>SV002/SV122</t>
  </si>
  <si>
    <t>Shiny</t>
  </si>
  <si>
    <t>Decidueye</t>
  </si>
  <si>
    <t>11/149</t>
  </si>
  <si>
    <t>Cracked Ice</t>
  </si>
  <si>
    <t>Pokémon League</t>
  </si>
  <si>
    <t>12/149</t>
  </si>
  <si>
    <t>Decidueye GX</t>
  </si>
  <si>
    <t>Jumbo</t>
  </si>
  <si>
    <t>SM37</t>
  </si>
  <si>
    <t>SM55</t>
  </si>
  <si>
    <t>SV47/SV94</t>
  </si>
  <si>
    <t>146/145</t>
  </si>
  <si>
    <t>Guardians Rising</t>
  </si>
  <si>
    <t>Rainbow</t>
  </si>
  <si>
    <t>20/236</t>
  </si>
  <si>
    <t>013/189</t>
  </si>
  <si>
    <t>008/072</t>
  </si>
  <si>
    <t>SV003/SV122</t>
  </si>
  <si>
    <t>Play! Pokémon</t>
  </si>
  <si>
    <t>Hisuian Decidueye</t>
  </si>
  <si>
    <t>082/189</t>
  </si>
  <si>
    <t>SWSH035</t>
  </si>
  <si>
    <t>Prerelease</t>
  </si>
  <si>
    <t>Prerelease (Staff)</t>
  </si>
  <si>
    <t>Hisuian Decidueye V</t>
  </si>
  <si>
    <t>SWSH238</t>
  </si>
  <si>
    <t>Hisuian Decidueye VSTAR</t>
  </si>
  <si>
    <t>Decidueye ex</t>
  </si>
  <si>
    <t>083/189</t>
  </si>
  <si>
    <t>173/189</t>
  </si>
  <si>
    <t>084/189</t>
  </si>
  <si>
    <t>195/189</t>
  </si>
  <si>
    <t>015/197</t>
  </si>
  <si>
    <t>Ondřej Škubal (2022)</t>
  </si>
  <si>
    <t>Full Art</t>
  </si>
  <si>
    <t>005/064</t>
  </si>
  <si>
    <t>010/095</t>
  </si>
  <si>
    <t>003/190</t>
  </si>
  <si>
    <t>ジュナイパー</t>
  </si>
  <si>
    <t>Shiny Star V</t>
  </si>
  <si>
    <t>Alter Genesis</t>
  </si>
  <si>
    <t>Colour</t>
  </si>
  <si>
    <t>Meaning</t>
  </si>
  <si>
    <t>Not Owned</t>
  </si>
  <si>
    <t>Purchased</t>
  </si>
  <si>
    <t>Not Released</t>
  </si>
  <si>
    <t># of Cards</t>
  </si>
  <si>
    <t># of Cards (Collection)</t>
  </si>
  <si>
    <t># of Cards (Purchased)</t>
  </si>
  <si>
    <t>Completion %</t>
  </si>
  <si>
    <t>Oshawott</t>
  </si>
  <si>
    <t>27/114</t>
  </si>
  <si>
    <t>Black and White</t>
  </si>
  <si>
    <t>Common</t>
  </si>
  <si>
    <t>28/114</t>
  </si>
  <si>
    <t>_____'s Oshawott</t>
  </si>
  <si>
    <t>NA</t>
  </si>
  <si>
    <t>Miscellaneous Promotional cards</t>
  </si>
  <si>
    <t>BW Black Star Promos</t>
  </si>
  <si>
    <t>BW03</t>
  </si>
  <si>
    <t>BW08</t>
  </si>
  <si>
    <t>4/12</t>
  </si>
  <si>
    <t>McDonald's Collection 2011</t>
  </si>
  <si>
    <t>Boundaries Crossed</t>
  </si>
  <si>
    <t>39/149</t>
  </si>
  <si>
    <t>Legendary Treasures</t>
  </si>
  <si>
    <t>Reverse Holo</t>
  </si>
  <si>
    <t>37/113</t>
  </si>
  <si>
    <t>30/114</t>
  </si>
  <si>
    <t>Steam Siege</t>
  </si>
  <si>
    <t>SWSH222</t>
  </si>
  <si>
    <t>033/185</t>
  </si>
  <si>
    <t>Vivid Voltage</t>
  </si>
  <si>
    <t>21/25</t>
  </si>
  <si>
    <t>041/189</t>
  </si>
  <si>
    <t>English Name</t>
  </si>
  <si>
    <t>015/067</t>
  </si>
  <si>
    <t>Time Gazer</t>
  </si>
  <si>
    <t>ミジュマル</t>
  </si>
  <si>
    <t>Arven</t>
  </si>
  <si>
    <t>168/198</t>
  </si>
  <si>
    <t>Scarlet &amp; Violet</t>
  </si>
  <si>
    <t>Championship Hong Kong</t>
  </si>
  <si>
    <t>Championship Phillipines</t>
  </si>
  <si>
    <t>Championship Singapore</t>
  </si>
  <si>
    <t>Gym</t>
  </si>
  <si>
    <t>Play! Pokémon Cosmos Holo</t>
  </si>
  <si>
    <t>Regional Championships</t>
  </si>
  <si>
    <t>Regional Championships Staff</t>
  </si>
  <si>
    <t>235/198</t>
  </si>
  <si>
    <t>249/198</t>
  </si>
  <si>
    <t>Special Illustration Rare</t>
  </si>
  <si>
    <t>Illustration Rare</t>
  </si>
  <si>
    <t>186/197</t>
  </si>
  <si>
    <t>235/091</t>
  </si>
  <si>
    <t>Paldean Fates</t>
  </si>
  <si>
    <t>Dewott</t>
  </si>
  <si>
    <t>29/114</t>
  </si>
  <si>
    <t>5/12</t>
  </si>
  <si>
    <t>McDonald's Collection 2012</t>
  </si>
  <si>
    <t>40/149</t>
  </si>
  <si>
    <t>38/113</t>
  </si>
  <si>
    <t>31/114</t>
  </si>
  <si>
    <t>034/185</t>
  </si>
  <si>
    <t>042/189</t>
  </si>
  <si>
    <t>Samurott</t>
  </si>
  <si>
    <t>32/144</t>
  </si>
  <si>
    <t>BW22</t>
  </si>
  <si>
    <t>41/149</t>
  </si>
  <si>
    <t>39/113</t>
  </si>
  <si>
    <t>035/185</t>
  </si>
  <si>
    <t>32/114</t>
  </si>
  <si>
    <t>Hisuian Samurott</t>
  </si>
  <si>
    <t>100/189</t>
  </si>
  <si>
    <t>101/189</t>
  </si>
  <si>
    <t>Hisuian Samurott V</t>
  </si>
  <si>
    <t>176/189</t>
  </si>
  <si>
    <t>102/189</t>
  </si>
  <si>
    <t>209/189</t>
  </si>
  <si>
    <t>197/189</t>
  </si>
  <si>
    <t>Gold Rare</t>
  </si>
  <si>
    <t>Hisuian Samurott VSTAR</t>
  </si>
  <si>
    <t>SWSH207</t>
  </si>
  <si>
    <t>SWSH239</t>
  </si>
  <si>
    <t>GG52/GG70</t>
  </si>
  <si>
    <t>GG51/GG70</t>
  </si>
  <si>
    <t>Crown Zenith Galarian Gallery</t>
  </si>
  <si>
    <t>フタチマル</t>
  </si>
  <si>
    <t>016/067</t>
  </si>
  <si>
    <t>041/067</t>
  </si>
  <si>
    <t>ヒスイダイケンキ</t>
  </si>
  <si>
    <t>Set (Subset in Crown Zenith)</t>
  </si>
  <si>
    <t>Bea</t>
  </si>
  <si>
    <t>Bede</t>
  </si>
  <si>
    <t>Hop</t>
  </si>
  <si>
    <t>Leon</t>
  </si>
  <si>
    <t>Nessa</t>
  </si>
  <si>
    <t>Raihan</t>
  </si>
  <si>
    <t>Signed Trainer Cards</t>
  </si>
  <si>
    <t>123/159</t>
  </si>
  <si>
    <t>124/159</t>
  </si>
  <si>
    <t>133/159</t>
  </si>
  <si>
    <t>134/159</t>
  </si>
  <si>
    <t>136/159</t>
  </si>
  <si>
    <t>140/159</t>
  </si>
  <si>
    <t>Elisa's Sparkle</t>
  </si>
  <si>
    <t>Friends in Hisui</t>
  </si>
  <si>
    <t>Friends in Sinnoh</t>
  </si>
  <si>
    <t>Volo</t>
  </si>
  <si>
    <t>147/159</t>
  </si>
  <si>
    <t>148/159</t>
  </si>
  <si>
    <t>149/159</t>
  </si>
  <si>
    <t>150/159</t>
  </si>
  <si>
    <t>151/159</t>
  </si>
  <si>
    <t>Full Art Trainers</t>
  </si>
  <si>
    <t>Pikachu</t>
  </si>
  <si>
    <t>160/159</t>
  </si>
  <si>
    <t>Secret Rare</t>
  </si>
  <si>
    <t>Hisuian Voltorb</t>
  </si>
  <si>
    <t>Kricketune</t>
  </si>
  <si>
    <t>Magmortar</t>
  </si>
  <si>
    <t>Oricorio</t>
  </si>
  <si>
    <t>Lapras</t>
  </si>
  <si>
    <t>Manaphy</t>
  </si>
  <si>
    <t>Keldeo</t>
  </si>
  <si>
    <t>Electivire</t>
  </si>
  <si>
    <t>Toxtricity</t>
  </si>
  <si>
    <t>Mew</t>
  </si>
  <si>
    <t>Lunatone</t>
  </si>
  <si>
    <t>Deoxys</t>
  </si>
  <si>
    <t>Diancie</t>
  </si>
  <si>
    <t>Comfey</t>
  </si>
  <si>
    <t>Solrock</t>
  </si>
  <si>
    <t>Absol</t>
  </si>
  <si>
    <t>Thievul</t>
  </si>
  <si>
    <t>Magnezone</t>
  </si>
  <si>
    <t>Altaria</t>
  </si>
  <si>
    <t>Latias</t>
  </si>
  <si>
    <t>Hisuian Goodra</t>
  </si>
  <si>
    <t>Ditto</t>
  </si>
  <si>
    <t>GG01/GG70</t>
  </si>
  <si>
    <t>GG02/GG70</t>
  </si>
  <si>
    <t>GG03/GG70</t>
  </si>
  <si>
    <t>GG04/GG70</t>
  </si>
  <si>
    <t>GG05/GG70</t>
  </si>
  <si>
    <t>GG06/GG70</t>
  </si>
  <si>
    <t>GG07/GG70</t>
  </si>
  <si>
    <t>GG08/GG70</t>
  </si>
  <si>
    <t>GG09/GG70</t>
  </si>
  <si>
    <t>GG10/GG70</t>
  </si>
  <si>
    <t>GG11/GG70</t>
  </si>
  <si>
    <t>Dunsparce</t>
  </si>
  <si>
    <t>Miltank</t>
  </si>
  <si>
    <t>Bibarel</t>
  </si>
  <si>
    <t>Riolu</t>
  </si>
  <si>
    <t>Swablu</t>
  </si>
  <si>
    <t>Duskull</t>
  </si>
  <si>
    <t>Bidoff</t>
  </si>
  <si>
    <t>Turtwig</t>
  </si>
  <si>
    <t>Paras</t>
  </si>
  <si>
    <t>Poochyena</t>
  </si>
  <si>
    <t>Mareep</t>
  </si>
  <si>
    <t>Leafeon VSTAR</t>
  </si>
  <si>
    <t>Entei V</t>
  </si>
  <si>
    <t>Simisear VSTAR</t>
  </si>
  <si>
    <t>Suicune V</t>
  </si>
  <si>
    <t>Lumineon V</t>
  </si>
  <si>
    <t>Glaceon VSTAR</t>
  </si>
  <si>
    <t>Raikou V</t>
  </si>
  <si>
    <t>Zeraora VMAX</t>
  </si>
  <si>
    <t>Zeraora VSTAR</t>
  </si>
  <si>
    <t>Mewtwo VSTAR</t>
  </si>
  <si>
    <t>Deoxys VMAX</t>
  </si>
  <si>
    <t>Deoxys VSTAR</t>
  </si>
  <si>
    <t>Hatterene VMAX</t>
  </si>
  <si>
    <t>GG47/GG70</t>
  </si>
  <si>
    <t>GG12/GG70</t>
  </si>
  <si>
    <t>GG13/GG70</t>
  </si>
  <si>
    <t>GG14/GG70</t>
  </si>
  <si>
    <t>GG15/GG70</t>
  </si>
  <si>
    <t>GG16/GG70</t>
  </si>
  <si>
    <t>GG17/GG70</t>
  </si>
  <si>
    <t>GG18/GG70</t>
  </si>
  <si>
    <t>GG19/GG70</t>
  </si>
  <si>
    <t>GG20/GG70</t>
  </si>
  <si>
    <t>GG21/GG70</t>
  </si>
  <si>
    <t>GG22/GG70</t>
  </si>
  <si>
    <t>GG23/GG70</t>
  </si>
  <si>
    <t>GG24/GG70</t>
  </si>
  <si>
    <t>GG25/GG70</t>
  </si>
  <si>
    <t>GG26/GG70</t>
  </si>
  <si>
    <t>GG27/GG70</t>
  </si>
  <si>
    <t>GG28/GG70</t>
  </si>
  <si>
    <t>GG29/GG70</t>
  </si>
  <si>
    <t>GG30/GG70</t>
  </si>
  <si>
    <t>GG31/GG70</t>
  </si>
  <si>
    <t>GG32/GG70</t>
  </si>
  <si>
    <t>GG33/GG70</t>
  </si>
  <si>
    <t>GG34/GG70</t>
  </si>
  <si>
    <t>GG35/GG70</t>
  </si>
  <si>
    <t>GG36/GG70</t>
  </si>
  <si>
    <t>GG37/GG70</t>
  </si>
  <si>
    <t>GG38/GG70</t>
  </si>
  <si>
    <t>GG39/GG70</t>
  </si>
  <si>
    <t>GG40/GG70</t>
  </si>
  <si>
    <t>GG41/GG70</t>
  </si>
  <si>
    <t>GG42/GG70</t>
  </si>
  <si>
    <t>GG43/GG70</t>
  </si>
  <si>
    <t>GG44/GG70</t>
  </si>
  <si>
    <t>GG45/GG70</t>
  </si>
  <si>
    <t>GG46/GG70</t>
  </si>
  <si>
    <t>Zacian V</t>
  </si>
  <si>
    <t>Drapion V</t>
  </si>
  <si>
    <t>Darkrai VSTAR</t>
  </si>
  <si>
    <t>Hoopa V</t>
  </si>
  <si>
    <t>GG53/GG70</t>
  </si>
  <si>
    <t>GG48/GG70</t>
  </si>
  <si>
    <t>GG49/GG70</t>
  </si>
  <si>
    <t>GG50/GG70</t>
  </si>
  <si>
    <t>Zamazenta V</t>
  </si>
  <si>
    <t>Regigigas VSTAR</t>
  </si>
  <si>
    <t>Hisuian Zoroark VSTAR</t>
  </si>
  <si>
    <t>Adaman</t>
  </si>
  <si>
    <t>Cheren's Care</t>
  </si>
  <si>
    <t>Colress's Experiment</t>
  </si>
  <si>
    <t>Cynthia's Ambition</t>
  </si>
  <si>
    <t>Gardenia's Vigor</t>
  </si>
  <si>
    <t>Grant</t>
  </si>
  <si>
    <t>Irida</t>
  </si>
  <si>
    <t>Melony</t>
  </si>
  <si>
    <t>Roxanne</t>
  </si>
  <si>
    <t>Origine Form Palkia VSTAR</t>
  </si>
  <si>
    <t>Origine Form Dialga VSTAR</t>
  </si>
  <si>
    <t>Giratina VSTAR</t>
  </si>
  <si>
    <t>Arceus VSTAR</t>
  </si>
  <si>
    <t>GG54/GG70</t>
  </si>
  <si>
    <t>GG55/GG70</t>
  </si>
  <si>
    <t>GG56/GG70</t>
  </si>
  <si>
    <t>GG57/GG70</t>
  </si>
  <si>
    <t>GG58/GG70</t>
  </si>
  <si>
    <t>GG59/GG70</t>
  </si>
  <si>
    <t>GG60/GG70</t>
  </si>
  <si>
    <t>GG61/GG70</t>
  </si>
  <si>
    <t>GG62/GG70</t>
  </si>
  <si>
    <t>GG63/GG70</t>
  </si>
  <si>
    <t>GG64/GG70</t>
  </si>
  <si>
    <t>GG65/GG70</t>
  </si>
  <si>
    <t>GG66/GG70</t>
  </si>
  <si>
    <t>GG67/GG70</t>
  </si>
  <si>
    <t>GG68/GG70</t>
  </si>
  <si>
    <t>GG70/GG70</t>
  </si>
  <si>
    <t>GG69/GG70</t>
  </si>
  <si>
    <t>Galarian Gallery</t>
  </si>
  <si>
    <t>SWSH260</t>
  </si>
  <si>
    <t>SWSH261</t>
  </si>
  <si>
    <t>SWSH262</t>
  </si>
  <si>
    <t>Charizard</t>
  </si>
  <si>
    <t>Charizard VMAX</t>
  </si>
  <si>
    <t>Charizard VSTAR</t>
  </si>
  <si>
    <t>SWSH282</t>
  </si>
  <si>
    <t>SWSH283</t>
  </si>
  <si>
    <t>SWSH284</t>
  </si>
  <si>
    <t>Galarian Articuno</t>
  </si>
  <si>
    <t>Galarian Zapdos</t>
  </si>
  <si>
    <t>Galarian Moltres</t>
  </si>
  <si>
    <t>SWSH287</t>
  </si>
  <si>
    <t>SWSH288</t>
  </si>
  <si>
    <t>SWSH289</t>
  </si>
  <si>
    <t>SWSH290</t>
  </si>
  <si>
    <t>Morpeko V-UNION</t>
  </si>
  <si>
    <t>SWSH291</t>
  </si>
  <si>
    <t>Lucario VSTAR</t>
  </si>
  <si>
    <t>Crown Zenith</t>
  </si>
  <si>
    <t>Professor's Research (Professor Rowan)</t>
  </si>
  <si>
    <t>Friends in Paldea</t>
  </si>
  <si>
    <t>174/187</t>
  </si>
  <si>
    <t>195/187</t>
  </si>
  <si>
    <t>Prismatic Evolution</t>
  </si>
  <si>
    <t>Pokéball Reverse Holo</t>
  </si>
  <si>
    <t>Masterball Reverse Holo</t>
  </si>
  <si>
    <t>White Flare</t>
  </si>
  <si>
    <t>021/086</t>
  </si>
  <si>
    <t>105/86</t>
  </si>
  <si>
    <t>Pokéball Holo</t>
  </si>
  <si>
    <t>Masterball Holo</t>
  </si>
  <si>
    <t>022/086</t>
  </si>
  <si>
    <t>106/86</t>
  </si>
  <si>
    <t>Either getting either pokeball or Masterball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</si>
</sst>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b/>
      <sz val="12"/>
      <color theme="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rgb="FF00B050"/>
      <name val="Aptos Narrow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Aptos Narrow"/>
      <family val="2"/>
      <scheme val="minor"/>
    </font>
    <font>
      <sz val="12"/>
      <color rgb="FF00B0F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28855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6DEEE"/>
        <bgColor indexed="64"/>
      </patternFill>
    </fill>
    <fill>
      <patternFill patternType="solid">
        <fgColor rgb="FF4B3E7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FF0000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49" fontId="1" fillId="2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49" fontId="2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vertical="center" wrapText="1"/>
    </xf>
    <xf numFmtId="0" fontId="4" fillId="2" borderId="0" xfId="0" applyFont="1" applyFill="1"/>
    <xf numFmtId="49" fontId="3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 wrapText="1"/>
    </xf>
    <xf numFmtId="0" fontId="0" fillId="3" borderId="0" xfId="0" applyFill="1"/>
    <xf numFmtId="0" fontId="0" fillId="4" borderId="0" xfId="0" applyFill="1"/>
    <xf numFmtId="49" fontId="3" fillId="0" borderId="0" xfId="0" applyNumberFormat="1" applyFont="1" applyAlignment="1">
      <alignment vertical="center" wrapText="1"/>
    </xf>
    <xf numFmtId="0" fontId="1" fillId="5" borderId="0" xfId="0" applyFont="1" applyFill="1"/>
    <xf numFmtId="0" fontId="2" fillId="0" borderId="0" xfId="0" applyFont="1"/>
    <xf numFmtId="0" fontId="2" fillId="3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4" borderId="0" xfId="0" applyFont="1" applyFill="1"/>
    <xf numFmtId="10" fontId="1" fillId="5" borderId="0" xfId="0" applyNumberFormat="1" applyFont="1" applyFill="1"/>
    <xf numFmtId="10" fontId="2" fillId="0" borderId="0" xfId="0" applyNumberFormat="1" applyFont="1"/>
    <xf numFmtId="0" fontId="4" fillId="0" borderId="0" xfId="0" applyFont="1"/>
    <xf numFmtId="49" fontId="3" fillId="8" borderId="0" xfId="0" applyNumberFormat="1" applyFont="1" applyFill="1" applyAlignment="1">
      <alignment vertical="center" wrapText="1"/>
    </xf>
    <xf numFmtId="49" fontId="3" fillId="8" borderId="0" xfId="0" applyNumberFormat="1" applyFont="1" applyFill="1" applyAlignment="1">
      <alignment vertical="center"/>
    </xf>
    <xf numFmtId="0" fontId="3" fillId="8" borderId="0" xfId="0" applyFont="1" applyFill="1" applyAlignment="1">
      <alignment horizontal="left" vertical="center"/>
    </xf>
    <xf numFmtId="0" fontId="6" fillId="8" borderId="0" xfId="0" applyFont="1" applyFill="1"/>
    <xf numFmtId="0" fontId="0" fillId="6" borderId="0" xfId="0" applyFill="1"/>
    <xf numFmtId="49" fontId="1" fillId="9" borderId="0" xfId="0" applyNumberFormat="1" applyFont="1" applyFill="1" applyAlignment="1">
      <alignment vertical="center" wrapText="1"/>
    </xf>
    <xf numFmtId="49" fontId="1" fillId="9" borderId="0" xfId="0" applyNumberFormat="1" applyFont="1" applyFill="1" applyAlignment="1">
      <alignment vertical="center"/>
    </xf>
    <xf numFmtId="0" fontId="1" fillId="9" borderId="0" xfId="0" applyFont="1" applyFill="1" applyAlignment="1">
      <alignment horizontal="left" vertical="center"/>
    </xf>
    <xf numFmtId="0" fontId="4" fillId="9" borderId="0" xfId="0" applyFont="1" applyFill="1"/>
    <xf numFmtId="49" fontId="1" fillId="10" borderId="0" xfId="0" applyNumberFormat="1" applyFont="1" applyFill="1" applyAlignment="1">
      <alignment vertical="center" wrapText="1"/>
    </xf>
    <xf numFmtId="49" fontId="1" fillId="10" borderId="0" xfId="0" applyNumberFormat="1" applyFont="1" applyFill="1" applyAlignment="1">
      <alignment vertical="center"/>
    </xf>
    <xf numFmtId="0" fontId="1" fillId="10" borderId="0" xfId="0" applyFont="1" applyFill="1" applyAlignment="1">
      <alignment horizontal="left" vertical="center"/>
    </xf>
    <xf numFmtId="0" fontId="4" fillId="10" borderId="0" xfId="0" applyFont="1" applyFill="1"/>
    <xf numFmtId="49" fontId="1" fillId="11" borderId="0" xfId="0" applyNumberFormat="1" applyFont="1" applyFill="1" applyAlignment="1">
      <alignment vertical="center" wrapText="1"/>
    </xf>
    <xf numFmtId="49" fontId="1" fillId="11" borderId="0" xfId="0" applyNumberFormat="1" applyFont="1" applyFill="1" applyAlignment="1">
      <alignment vertical="center"/>
    </xf>
    <xf numFmtId="0" fontId="1" fillId="11" borderId="0" xfId="0" applyFont="1" applyFill="1" applyAlignment="1">
      <alignment horizontal="left" vertical="center"/>
    </xf>
    <xf numFmtId="0" fontId="4" fillId="11" borderId="0" xfId="0" applyFont="1" applyFill="1"/>
    <xf numFmtId="0" fontId="1" fillId="2" borderId="0" xfId="0" applyFont="1" applyFill="1"/>
    <xf numFmtId="0" fontId="3" fillId="0" borderId="0" xfId="0" applyFont="1"/>
    <xf numFmtId="0" fontId="3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7" fillId="3" borderId="0" xfId="0" applyFont="1" applyFill="1"/>
    <xf numFmtId="49" fontId="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 wrapText="1"/>
    </xf>
    <xf numFmtId="49" fontId="3" fillId="0" borderId="0" xfId="0" applyNumberFormat="1" applyFont="1" applyAlignment="1">
      <alignment vertical="center" wrapText="1"/>
    </xf>
    <xf numFmtId="0" fontId="0" fillId="7" borderId="0" xfId="0" applyFill="1"/>
    <xf numFmtId="49" fontId="8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0" fillId="12" borderId="0" xfId="0" applyFont="1" applyFill="1"/>
    <xf numFmtId="0" fontId="10" fillId="13" borderId="0" xfId="0" applyFont="1" applyFill="1"/>
    <xf numFmtId="49" fontId="8" fillId="0" borderId="0" xfId="0" applyNumberFormat="1" applyFont="1" applyAlignment="1">
      <alignment vertical="center" wrapText="1"/>
    </xf>
    <xf numFmtId="49" fontId="8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vertical="center"/>
    </xf>
    <xf numFmtId="0" fontId="9" fillId="0" borderId="0" xfId="0" applyFont="1" applyAlignment="1">
      <alignment horizontal="left" vertical="center"/>
    </xf>
    <xf numFmtId="0" fontId="11" fillId="1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88552"/>
      <color rgb="FF4B3E7F"/>
      <color rgb="FF76D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EE8CF-2A5C-0C41-A0F0-3F6F288926FC}">
  <sheetPr codeName="Sheet1">
    <tabColor rgb="FF002060"/>
  </sheetPr>
  <dimension ref="A1:E9"/>
  <sheetViews>
    <sheetView workbookViewId="0">
      <selection activeCell="E7" sqref="E7"/>
    </sheetView>
  </sheetViews>
  <sheetFormatPr baseColWidth="10" defaultRowHeight="16" x14ac:dyDescent="0.2"/>
  <cols>
    <col min="1" max="1" width="24.83203125" style="40" customWidth="1"/>
    <col min="2" max="2" width="10.83203125" style="14"/>
    <col min="3" max="4" width="18.83203125" style="14" customWidth="1"/>
    <col min="5" max="5" width="18.83203125" style="20" customWidth="1"/>
    <col min="6" max="16384" width="10.83203125" style="14"/>
  </cols>
  <sheetData>
    <row r="1" spans="1:5" s="13" customFormat="1" x14ac:dyDescent="0.2">
      <c r="A1" s="13" t="s">
        <v>1</v>
      </c>
      <c r="B1" s="13" t="s">
        <v>126</v>
      </c>
      <c r="C1" s="13" t="s">
        <v>127</v>
      </c>
      <c r="D1" s="13" t="s">
        <v>128</v>
      </c>
      <c r="E1" s="19" t="s">
        <v>129</v>
      </c>
    </row>
    <row r="2" spans="1:5" x14ac:dyDescent="0.2">
      <c r="A2" s="39" t="s">
        <v>3</v>
      </c>
      <c r="B2" s="14" cm="1">
        <f t="array" ref="B2">COUNT_FILE_COLOURS(A2)</f>
        <v>37</v>
      </c>
      <c r="C2" s="14" cm="1">
        <f t="array" ref="C2">COUNT_COLOUR(A2, Colours!A$2)</f>
        <v>37</v>
      </c>
      <c r="D2" s="14" cm="1">
        <f t="array" ref="D2">C2 + COUNT_COLOUR(A2, Colours!A$4)</f>
        <v>37</v>
      </c>
      <c r="E2" s="20">
        <f t="shared" ref="E2:E9" si="0">C2/B2</f>
        <v>1</v>
      </c>
    </row>
    <row r="3" spans="1:5" x14ac:dyDescent="0.2">
      <c r="A3" s="39" t="s">
        <v>69</v>
      </c>
      <c r="B3" s="14" cm="1">
        <f t="array" ref="B3">COUNT_FILE_COLOURS(A3)</f>
        <v>19</v>
      </c>
      <c r="C3" s="14" cm="1">
        <f t="array" ref="C3">COUNT_COLOUR(A3, Colours!A$2)</f>
        <v>19</v>
      </c>
      <c r="D3" s="14" cm="1">
        <f t="array" ref="D3">C3 + COUNT_COLOUR(A3, Colours!A$4)</f>
        <v>19</v>
      </c>
      <c r="E3" s="20">
        <f t="shared" si="0"/>
        <v>1</v>
      </c>
    </row>
    <row r="4" spans="1:5" x14ac:dyDescent="0.2">
      <c r="A4" s="39" t="s">
        <v>81</v>
      </c>
      <c r="B4" s="14" cm="1">
        <f t="array" ref="B4">COUNT_FILE_COLOURS(A4)</f>
        <v>35</v>
      </c>
      <c r="C4" s="14" cm="1">
        <f t="array" ref="C4">COUNT_COLOUR(A4, Colours!A$2)</f>
        <v>35</v>
      </c>
      <c r="D4" s="14" cm="1">
        <f t="array" ref="D4">C4 + COUNT_COLOUR(A4, Colours!A$4)</f>
        <v>35</v>
      </c>
      <c r="E4" s="20">
        <f t="shared" si="0"/>
        <v>1</v>
      </c>
    </row>
    <row r="5" spans="1:5" x14ac:dyDescent="0.2">
      <c r="A5" s="41" t="s">
        <v>130</v>
      </c>
      <c r="B5" s="14" cm="1">
        <f t="array" ref="B5">COUNT_FILE_COLOURS(A5)</f>
        <v>31</v>
      </c>
      <c r="C5" s="14" cm="1">
        <f t="array" ref="C5">COUNT_COLOUR(A5, Colours!A$2)</f>
        <v>20</v>
      </c>
      <c r="D5" s="14" cm="1">
        <f t="array" ref="D5">C5 + COUNT_COLOUR(A5, Colours!A$4)</f>
        <v>24</v>
      </c>
      <c r="E5" s="20">
        <f t="shared" si="0"/>
        <v>0.64516129032258063</v>
      </c>
    </row>
    <row r="6" spans="1:5" x14ac:dyDescent="0.2">
      <c r="A6" s="41" t="s">
        <v>176</v>
      </c>
      <c r="B6" s="14" cm="1">
        <f t="array" ref="B6">COUNT_FILE_COLOURS(A6)</f>
        <v>21</v>
      </c>
      <c r="C6" s="14" cm="1">
        <f t="array" ref="C6">COUNT_COLOUR(A6, Colours!A$2)</f>
        <v>12</v>
      </c>
      <c r="D6" s="14" cm="1">
        <f t="array" ref="D6">C6 + COUNT_COLOUR(A6, Colours!A$4)</f>
        <v>16</v>
      </c>
      <c r="E6" s="20">
        <f t="shared" si="0"/>
        <v>0.5714285714285714</v>
      </c>
    </row>
    <row r="7" spans="1:5" x14ac:dyDescent="0.2">
      <c r="A7" s="41" t="s">
        <v>185</v>
      </c>
      <c r="B7" s="14" cm="1">
        <f t="array" ref="B7">COUNT_FILE_COLOURS(A7)</f>
        <v>35</v>
      </c>
      <c r="C7" s="14" cm="1">
        <f t="array" ref="C7">COUNT_COLOUR(A7, Colours!A$2)</f>
        <v>23</v>
      </c>
      <c r="D7" s="14" cm="1">
        <f t="array" ref="D7">C7 + COUNT_COLOUR(A7, Colours!A$4)</f>
        <v>25</v>
      </c>
      <c r="E7" s="20">
        <f t="shared" si="0"/>
        <v>0.65714285714285714</v>
      </c>
    </row>
    <row r="8" spans="1:5" x14ac:dyDescent="0.2">
      <c r="A8" s="42" t="s">
        <v>159</v>
      </c>
      <c r="B8" s="14" cm="1">
        <f t="array" ref="B8">COUNT_FILE_COLOURS(A8)</f>
        <v>20</v>
      </c>
      <c r="C8" s="14" cm="1">
        <f t="array" ref="C8">COUNT_COLOUR(A8, Colours!A$2)</f>
        <v>7</v>
      </c>
      <c r="D8" s="14" cm="1">
        <f t="array" ref="D8">C8 + COUNT_COLOUR(A8, Colours!A$4)</f>
        <v>7</v>
      </c>
      <c r="E8" s="20">
        <f t="shared" si="0"/>
        <v>0.35</v>
      </c>
    </row>
    <row r="9" spans="1:5" x14ac:dyDescent="0.2">
      <c r="A9" s="43" t="s">
        <v>392</v>
      </c>
      <c r="B9" s="14" cm="1">
        <f t="array" ref="B9">COUNT_FILE_COLOURS(A9)</f>
        <v>99</v>
      </c>
      <c r="C9" s="14" cm="1">
        <f t="array" ref="C9">COUNT_COLOUR(A9, Colours!A$2)</f>
        <v>40</v>
      </c>
      <c r="D9" s="14" cm="1">
        <f t="array" ref="D9">C9 + COUNT_COLOUR(A9, Colours!A$4)</f>
        <v>40</v>
      </c>
      <c r="E9" s="20">
        <f t="shared" si="0"/>
        <v>0.40404040404040403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A2A0E-21EA-6142-924B-F5AFFF022362}">
  <sheetPr codeName="Sheet6">
    <tabColor rgb="FF002060"/>
  </sheetPr>
  <dimension ref="A1:B5"/>
  <sheetViews>
    <sheetView workbookViewId="0">
      <selection activeCell="E30" sqref="E30"/>
    </sheetView>
  </sheetViews>
  <sheetFormatPr baseColWidth="10" defaultRowHeight="16" x14ac:dyDescent="0.2"/>
  <cols>
    <col min="1" max="16384" width="10.83203125" style="14"/>
  </cols>
  <sheetData>
    <row r="1" spans="1:2" s="13" customFormat="1" x14ac:dyDescent="0.2">
      <c r="A1" s="13" t="s">
        <v>121</v>
      </c>
      <c r="B1" s="13" t="s">
        <v>122</v>
      </c>
    </row>
    <row r="2" spans="1:2" x14ac:dyDescent="0.2">
      <c r="A2" s="15"/>
      <c r="B2" s="14" t="s">
        <v>13</v>
      </c>
    </row>
    <row r="3" spans="1:2" x14ac:dyDescent="0.2">
      <c r="A3" s="16"/>
      <c r="B3" s="14" t="s">
        <v>123</v>
      </c>
    </row>
    <row r="4" spans="1:2" x14ac:dyDescent="0.2">
      <c r="A4" s="17"/>
      <c r="B4" s="14" t="s">
        <v>124</v>
      </c>
    </row>
    <row r="5" spans="1:2" x14ac:dyDescent="0.2">
      <c r="A5" s="18"/>
      <c r="B5" s="14" t="s">
        <v>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1EC93-E557-0A41-B1AB-26E1456F7846}">
  <sheetPr codeName="Sheet2">
    <tabColor rgb="FF288552"/>
  </sheetPr>
  <dimension ref="A1:F38"/>
  <sheetViews>
    <sheetView topLeftCell="A7" workbookViewId="0">
      <selection activeCell="E36" sqref="A36:XFD36"/>
    </sheetView>
  </sheetViews>
  <sheetFormatPr baseColWidth="10" defaultRowHeight="16" x14ac:dyDescent="0.2"/>
  <cols>
    <col min="1" max="1" width="20.83203125" style="2" customWidth="1"/>
    <col min="2" max="2" width="12.83203125" style="2" customWidth="1"/>
    <col min="3" max="3" width="30.83203125" style="2" customWidth="1"/>
    <col min="4" max="4" width="10.83203125" style="8"/>
    <col min="5" max="5" width="20.83203125" style="3" customWidth="1"/>
  </cols>
  <sheetData>
    <row r="1" spans="1:6" s="5" customFormat="1" x14ac:dyDescent="0.2">
      <c r="A1" s="1" t="s">
        <v>1</v>
      </c>
      <c r="B1" s="1" t="s">
        <v>0</v>
      </c>
      <c r="C1" s="1" t="s">
        <v>2</v>
      </c>
      <c r="D1" s="7" t="s">
        <v>12</v>
      </c>
      <c r="E1" s="1" t="s">
        <v>6</v>
      </c>
      <c r="F1" s="5" t="s">
        <v>13</v>
      </c>
    </row>
    <row r="2" spans="1:6" x14ac:dyDescent="0.2">
      <c r="A2" s="45" t="s">
        <v>3</v>
      </c>
      <c r="B2" s="45" t="s">
        <v>4</v>
      </c>
      <c r="C2" s="45" t="s">
        <v>5</v>
      </c>
      <c r="D2" s="47">
        <v>2016</v>
      </c>
      <c r="E2" s="3" t="s">
        <v>7</v>
      </c>
      <c r="F2" s="10"/>
    </row>
    <row r="3" spans="1:6" x14ac:dyDescent="0.2">
      <c r="A3" s="45"/>
      <c r="B3" s="45"/>
      <c r="C3" s="45"/>
      <c r="D3" s="47"/>
      <c r="E3" s="3" t="s">
        <v>146</v>
      </c>
      <c r="F3" s="10"/>
    </row>
    <row r="4" spans="1:6" x14ac:dyDescent="0.2">
      <c r="A4" s="45"/>
      <c r="B4" s="45"/>
      <c r="C4" s="45"/>
      <c r="D4" s="47"/>
      <c r="E4" s="3" t="s">
        <v>9</v>
      </c>
      <c r="F4" s="10"/>
    </row>
    <row r="5" spans="1:6" x14ac:dyDescent="0.2">
      <c r="A5" s="45"/>
      <c r="B5" s="45"/>
      <c r="C5" s="45"/>
      <c r="D5" s="47"/>
      <c r="E5" s="3" t="s">
        <v>10</v>
      </c>
      <c r="F5" s="10"/>
    </row>
    <row r="6" spans="1:6" x14ac:dyDescent="0.2">
      <c r="A6" s="45"/>
      <c r="B6" s="45"/>
      <c r="C6" s="45"/>
      <c r="D6" s="47"/>
      <c r="E6" s="3" t="s">
        <v>11</v>
      </c>
      <c r="F6" s="10"/>
    </row>
    <row r="7" spans="1:6" x14ac:dyDescent="0.2">
      <c r="A7" s="2" t="s">
        <v>3</v>
      </c>
      <c r="B7" s="2" t="s">
        <v>19</v>
      </c>
      <c r="C7" s="2" t="s">
        <v>18</v>
      </c>
      <c r="D7" s="8">
        <v>2016</v>
      </c>
      <c r="F7" s="10"/>
    </row>
    <row r="8" spans="1:6" x14ac:dyDescent="0.2">
      <c r="A8" s="46" t="s">
        <v>3</v>
      </c>
      <c r="B8" s="46" t="s">
        <v>17</v>
      </c>
      <c r="C8" s="45" t="s">
        <v>15</v>
      </c>
      <c r="D8" s="47" t="s">
        <v>33</v>
      </c>
      <c r="E8" s="3" t="s">
        <v>34</v>
      </c>
      <c r="F8" s="10"/>
    </row>
    <row r="9" spans="1:6" x14ac:dyDescent="0.2">
      <c r="A9" s="46"/>
      <c r="B9" s="46"/>
      <c r="C9" s="45"/>
      <c r="D9" s="47"/>
      <c r="E9" s="3" t="s">
        <v>35</v>
      </c>
      <c r="F9" s="10"/>
    </row>
    <row r="10" spans="1:6" x14ac:dyDescent="0.2">
      <c r="A10" s="46"/>
      <c r="B10" s="46"/>
      <c r="C10" s="45"/>
      <c r="D10" s="47"/>
      <c r="E10" s="3" t="s">
        <v>36</v>
      </c>
      <c r="F10" s="10"/>
    </row>
    <row r="11" spans="1:6" x14ac:dyDescent="0.2">
      <c r="A11" s="46"/>
      <c r="B11" s="2" t="s">
        <v>16</v>
      </c>
      <c r="C11" s="45"/>
      <c r="D11" s="8">
        <v>2017</v>
      </c>
      <c r="F11" s="10"/>
    </row>
    <row r="12" spans="1:6" x14ac:dyDescent="0.2">
      <c r="A12" s="46"/>
      <c r="B12" s="2" t="s">
        <v>14</v>
      </c>
      <c r="C12" s="45"/>
      <c r="D12" s="8">
        <v>2018</v>
      </c>
      <c r="F12" s="10"/>
    </row>
    <row r="13" spans="1:6" ht="16" customHeight="1" x14ac:dyDescent="0.2">
      <c r="A13" s="48" t="s">
        <v>24</v>
      </c>
      <c r="B13" s="2" t="s">
        <v>20</v>
      </c>
      <c r="C13" s="46" t="s">
        <v>26</v>
      </c>
      <c r="D13" s="47" t="s">
        <v>28</v>
      </c>
      <c r="E13" s="3" t="s">
        <v>25</v>
      </c>
      <c r="F13" s="10"/>
    </row>
    <row r="14" spans="1:6" ht="16" customHeight="1" x14ac:dyDescent="0.2">
      <c r="A14" s="48"/>
      <c r="B14" s="2" t="s">
        <v>21</v>
      </c>
      <c r="C14" s="46"/>
      <c r="D14" s="47"/>
      <c r="E14" s="3" t="s">
        <v>25</v>
      </c>
      <c r="F14" s="10"/>
    </row>
    <row r="15" spans="1:6" ht="16" customHeight="1" x14ac:dyDescent="0.2">
      <c r="A15" s="48"/>
      <c r="B15" s="2" t="s">
        <v>22</v>
      </c>
      <c r="C15" s="46"/>
      <c r="D15" s="47"/>
      <c r="E15" s="3" t="s">
        <v>25</v>
      </c>
      <c r="F15" s="10"/>
    </row>
    <row r="16" spans="1:6" ht="16" customHeight="1" x14ac:dyDescent="0.2">
      <c r="A16" s="48"/>
      <c r="B16" s="2" t="s">
        <v>23</v>
      </c>
      <c r="C16" s="46"/>
      <c r="D16" s="47"/>
      <c r="E16" s="3" t="s">
        <v>27</v>
      </c>
      <c r="F16" s="10"/>
    </row>
    <row r="17" spans="1:6" x14ac:dyDescent="0.2">
      <c r="A17" s="2" t="s">
        <v>3</v>
      </c>
      <c r="B17" s="2" t="s">
        <v>32</v>
      </c>
      <c r="C17" s="2" t="s">
        <v>38</v>
      </c>
      <c r="D17" s="8" t="s">
        <v>28</v>
      </c>
      <c r="E17" s="3" t="s">
        <v>37</v>
      </c>
      <c r="F17" s="10"/>
    </row>
    <row r="18" spans="1:6" x14ac:dyDescent="0.2">
      <c r="A18" s="46" t="s">
        <v>3</v>
      </c>
      <c r="B18" s="46" t="s">
        <v>41</v>
      </c>
      <c r="C18" s="46" t="s">
        <v>39</v>
      </c>
      <c r="D18" s="47" t="s">
        <v>28</v>
      </c>
      <c r="E18" s="3" t="s">
        <v>7</v>
      </c>
      <c r="F18" s="10"/>
    </row>
    <row r="19" spans="1:6" x14ac:dyDescent="0.2">
      <c r="A19" s="46"/>
      <c r="B19" s="46"/>
      <c r="C19" s="46"/>
      <c r="D19" s="47"/>
      <c r="E19" s="3" t="s">
        <v>146</v>
      </c>
      <c r="F19" s="10"/>
    </row>
    <row r="20" spans="1:6" x14ac:dyDescent="0.2">
      <c r="A20" s="46"/>
      <c r="B20" s="46" t="s">
        <v>40</v>
      </c>
      <c r="C20" s="46"/>
      <c r="D20" s="47"/>
      <c r="E20" s="3" t="s">
        <v>7</v>
      </c>
      <c r="F20" s="10"/>
    </row>
    <row r="21" spans="1:6" x14ac:dyDescent="0.2">
      <c r="A21" s="46"/>
      <c r="B21" s="46"/>
      <c r="C21" s="46"/>
      <c r="D21" s="47"/>
      <c r="E21" s="3" t="s">
        <v>146</v>
      </c>
      <c r="F21" s="10"/>
    </row>
    <row r="22" spans="1:6" x14ac:dyDescent="0.2">
      <c r="A22" s="46" t="s">
        <v>3</v>
      </c>
      <c r="B22" s="46" t="s">
        <v>45</v>
      </c>
      <c r="C22" s="46" t="s">
        <v>44</v>
      </c>
      <c r="D22" s="47" t="s">
        <v>29</v>
      </c>
      <c r="E22" s="3" t="s">
        <v>7</v>
      </c>
      <c r="F22" s="10"/>
    </row>
    <row r="23" spans="1:6" x14ac:dyDescent="0.2">
      <c r="A23" s="46"/>
      <c r="B23" s="46"/>
      <c r="C23" s="46"/>
      <c r="D23" s="47"/>
      <c r="E23" s="3" t="s">
        <v>146</v>
      </c>
      <c r="F23" s="10"/>
    </row>
    <row r="24" spans="1:6" x14ac:dyDescent="0.2">
      <c r="A24" s="46" t="s">
        <v>3</v>
      </c>
      <c r="B24" s="46" t="s">
        <v>46</v>
      </c>
      <c r="C24" s="46" t="s">
        <v>47</v>
      </c>
      <c r="D24" s="47" t="s">
        <v>30</v>
      </c>
      <c r="E24" s="3" t="s">
        <v>7</v>
      </c>
      <c r="F24" s="10"/>
    </row>
    <row r="25" spans="1:6" x14ac:dyDescent="0.2">
      <c r="A25" s="46"/>
      <c r="B25" s="46"/>
      <c r="C25" s="46"/>
      <c r="D25" s="47"/>
      <c r="E25" s="3" t="s">
        <v>146</v>
      </c>
      <c r="F25" s="10"/>
    </row>
    <row r="26" spans="1:6" x14ac:dyDescent="0.2">
      <c r="A26" s="46"/>
      <c r="B26" s="6" t="s">
        <v>51</v>
      </c>
      <c r="C26" s="46"/>
      <c r="D26" s="47"/>
      <c r="E26" s="3" t="s">
        <v>80</v>
      </c>
      <c r="F26" s="10"/>
    </row>
    <row r="27" spans="1:6" x14ac:dyDescent="0.2">
      <c r="A27" s="46" t="s">
        <v>3</v>
      </c>
      <c r="B27" s="46" t="s">
        <v>48</v>
      </c>
      <c r="C27" s="46" t="s">
        <v>49</v>
      </c>
      <c r="D27" s="47">
        <v>2021</v>
      </c>
      <c r="E27" s="3" t="s">
        <v>7</v>
      </c>
      <c r="F27" s="10"/>
    </row>
    <row r="28" spans="1:6" x14ac:dyDescent="0.2">
      <c r="A28" s="46"/>
      <c r="B28" s="46"/>
      <c r="C28" s="46"/>
      <c r="D28" s="47"/>
      <c r="E28" s="3" t="s">
        <v>50</v>
      </c>
      <c r="F28" s="10"/>
    </row>
    <row r="29" spans="1:6" x14ac:dyDescent="0.2">
      <c r="A29" s="46" t="s">
        <v>3</v>
      </c>
      <c r="B29" s="46" t="s">
        <v>42</v>
      </c>
      <c r="C29" s="46" t="s">
        <v>43</v>
      </c>
      <c r="D29" s="47" t="s">
        <v>31</v>
      </c>
      <c r="E29" s="3" t="s">
        <v>34</v>
      </c>
      <c r="F29" s="10"/>
    </row>
    <row r="30" spans="1:6" x14ac:dyDescent="0.2">
      <c r="A30" s="46"/>
      <c r="B30" s="46"/>
      <c r="C30" s="46"/>
      <c r="D30" s="47"/>
      <c r="E30" s="3" t="s">
        <v>9</v>
      </c>
      <c r="F30" s="10"/>
    </row>
    <row r="31" spans="1:6" x14ac:dyDescent="0.2">
      <c r="A31" s="45" t="s">
        <v>3</v>
      </c>
      <c r="B31" s="45" t="s">
        <v>52</v>
      </c>
      <c r="C31" s="45" t="s">
        <v>53</v>
      </c>
      <c r="D31" s="47">
        <v>2022</v>
      </c>
      <c r="E31" s="3" t="s">
        <v>7</v>
      </c>
      <c r="F31" s="10"/>
    </row>
    <row r="32" spans="1:6" x14ac:dyDescent="0.2">
      <c r="A32" s="45"/>
      <c r="B32" s="45"/>
      <c r="C32" s="45"/>
      <c r="D32" s="47"/>
      <c r="E32" s="3" t="s">
        <v>146</v>
      </c>
      <c r="F32" s="10"/>
    </row>
    <row r="33" spans="1:6" x14ac:dyDescent="0.2">
      <c r="A33" s="2" t="s">
        <v>3</v>
      </c>
      <c r="B33" s="2" t="s">
        <v>54</v>
      </c>
      <c r="C33" s="2" t="s">
        <v>55</v>
      </c>
      <c r="D33" s="8">
        <v>2022</v>
      </c>
      <c r="E33" s="3" t="s">
        <v>34</v>
      </c>
      <c r="F33" s="10"/>
    </row>
    <row r="34" spans="1:6" x14ac:dyDescent="0.2">
      <c r="A34" s="45" t="s">
        <v>3</v>
      </c>
      <c r="B34" s="45" t="s">
        <v>56</v>
      </c>
      <c r="C34" s="45" t="s">
        <v>58</v>
      </c>
      <c r="D34" s="47">
        <v>2023</v>
      </c>
      <c r="E34" s="3" t="s">
        <v>7</v>
      </c>
      <c r="F34" s="10"/>
    </row>
    <row r="35" spans="1:6" x14ac:dyDescent="0.2">
      <c r="A35" s="45"/>
      <c r="B35" s="45"/>
      <c r="C35" s="45"/>
      <c r="D35" s="47"/>
      <c r="E35" s="3" t="s">
        <v>146</v>
      </c>
      <c r="F35" s="10"/>
    </row>
    <row r="36" spans="1:6" x14ac:dyDescent="0.2">
      <c r="A36" s="45"/>
      <c r="B36" s="45"/>
      <c r="C36" s="45"/>
      <c r="D36" s="47"/>
      <c r="E36" s="3" t="s">
        <v>9</v>
      </c>
      <c r="F36" s="10"/>
    </row>
    <row r="37" spans="1:6" x14ac:dyDescent="0.2">
      <c r="A37" s="45" t="s">
        <v>3</v>
      </c>
      <c r="B37" s="45" t="s">
        <v>57</v>
      </c>
      <c r="C37" s="45" t="s">
        <v>59</v>
      </c>
      <c r="D37" s="47">
        <v>2024</v>
      </c>
      <c r="E37" s="3" t="s">
        <v>7</v>
      </c>
      <c r="F37" s="10"/>
    </row>
    <row r="38" spans="1:6" x14ac:dyDescent="0.2">
      <c r="A38" s="45"/>
      <c r="B38" s="45"/>
      <c r="C38" s="45"/>
      <c r="D38" s="47"/>
      <c r="E38" s="3" t="s">
        <v>146</v>
      </c>
      <c r="F38" s="10"/>
    </row>
  </sheetData>
  <mergeCells count="44">
    <mergeCell ref="D34:D36"/>
    <mergeCell ref="D37:D38"/>
    <mergeCell ref="D24:D26"/>
    <mergeCell ref="A24:A26"/>
    <mergeCell ref="C8:C12"/>
    <mergeCell ref="A8:A12"/>
    <mergeCell ref="B31:B32"/>
    <mergeCell ref="A31:A32"/>
    <mergeCell ref="C31:C32"/>
    <mergeCell ref="C22:C23"/>
    <mergeCell ref="B29:B30"/>
    <mergeCell ref="A29:A30"/>
    <mergeCell ref="C29:C30"/>
    <mergeCell ref="A13:A16"/>
    <mergeCell ref="A18:A21"/>
    <mergeCell ref="D31:D32"/>
    <mergeCell ref="D2:D6"/>
    <mergeCell ref="B8:B10"/>
    <mergeCell ref="D8:D10"/>
    <mergeCell ref="D29:D30"/>
    <mergeCell ref="B24:B25"/>
    <mergeCell ref="C13:C16"/>
    <mergeCell ref="D13:D16"/>
    <mergeCell ref="C18:C21"/>
    <mergeCell ref="D18:D21"/>
    <mergeCell ref="B18:B19"/>
    <mergeCell ref="B20:B21"/>
    <mergeCell ref="D22:D23"/>
    <mergeCell ref="B22:B23"/>
    <mergeCell ref="B27:B28"/>
    <mergeCell ref="C27:C28"/>
    <mergeCell ref="D27:D28"/>
    <mergeCell ref="A34:A36"/>
    <mergeCell ref="A37:A38"/>
    <mergeCell ref="A2:A6"/>
    <mergeCell ref="B2:B6"/>
    <mergeCell ref="C2:C6"/>
    <mergeCell ref="A22:A23"/>
    <mergeCell ref="A27:A28"/>
    <mergeCell ref="C24:C26"/>
    <mergeCell ref="B34:B36"/>
    <mergeCell ref="B37:B38"/>
    <mergeCell ref="C34:C36"/>
    <mergeCell ref="C37:C38"/>
  </mergeCells>
  <pageMargins left="0.7" right="0.7" top="0.75" bottom="0.75" header="0.3" footer="0.3"/>
  <ignoredErrors>
    <ignoredError sqref="D8 D17:D18 D13 D29:D30 D22 D24:D25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30D3-6ED6-7C42-BA9A-BBF7CB4F51CF}">
  <sheetPr codeName="Sheet3">
    <tabColor rgb="FF288552"/>
  </sheetPr>
  <dimension ref="A1:F20"/>
  <sheetViews>
    <sheetView workbookViewId="0">
      <selection activeCell="A16" sqref="A16:A18"/>
    </sheetView>
  </sheetViews>
  <sheetFormatPr baseColWidth="10" defaultRowHeight="16" x14ac:dyDescent="0.2"/>
  <cols>
    <col min="1" max="1" width="20.83203125" style="2" customWidth="1"/>
    <col min="2" max="2" width="12.83203125" style="2" customWidth="1"/>
    <col min="3" max="3" width="30.83203125" style="2" customWidth="1"/>
    <col min="4" max="4" width="10.83203125" style="8"/>
    <col min="5" max="5" width="20.83203125" style="3" customWidth="1"/>
  </cols>
  <sheetData>
    <row r="1" spans="1:6" s="5" customFormat="1" x14ac:dyDescent="0.2">
      <c r="A1" s="1" t="s">
        <v>1</v>
      </c>
      <c r="B1" s="1" t="s">
        <v>0</v>
      </c>
      <c r="C1" s="1" t="s">
        <v>2</v>
      </c>
      <c r="D1" s="7" t="s">
        <v>12</v>
      </c>
      <c r="E1" s="1" t="s">
        <v>6</v>
      </c>
      <c r="F1" s="5" t="s">
        <v>13</v>
      </c>
    </row>
    <row r="2" spans="1:6" x14ac:dyDescent="0.2">
      <c r="A2" s="45" t="s">
        <v>68</v>
      </c>
      <c r="B2" s="45" t="s">
        <v>70</v>
      </c>
      <c r="C2" s="45" t="s">
        <v>5</v>
      </c>
      <c r="D2" s="47">
        <v>2016</v>
      </c>
      <c r="E2" s="3" t="s">
        <v>7</v>
      </c>
      <c r="F2" s="10"/>
    </row>
    <row r="3" spans="1:6" x14ac:dyDescent="0.2">
      <c r="A3" s="45"/>
      <c r="B3" s="45"/>
      <c r="C3" s="45"/>
      <c r="D3" s="47"/>
      <c r="E3" s="3" t="s">
        <v>146</v>
      </c>
      <c r="F3" s="10"/>
    </row>
    <row r="4" spans="1:6" x14ac:dyDescent="0.2">
      <c r="A4" s="45"/>
      <c r="B4" s="45"/>
      <c r="C4" s="45"/>
      <c r="D4" s="47"/>
      <c r="E4" s="3" t="s">
        <v>9</v>
      </c>
      <c r="F4" s="10"/>
    </row>
    <row r="5" spans="1:6" x14ac:dyDescent="0.2">
      <c r="A5" s="45"/>
      <c r="B5" s="45"/>
      <c r="C5" s="45"/>
      <c r="D5" s="47"/>
      <c r="E5" s="3" t="s">
        <v>11</v>
      </c>
      <c r="F5" s="10"/>
    </row>
    <row r="6" spans="1:6" x14ac:dyDescent="0.2">
      <c r="A6" s="45" t="s">
        <v>69</v>
      </c>
      <c r="B6" s="45" t="s">
        <v>71</v>
      </c>
      <c r="C6" s="45" t="s">
        <v>39</v>
      </c>
      <c r="D6" s="47">
        <v>2019</v>
      </c>
      <c r="E6" s="3" t="s">
        <v>7</v>
      </c>
      <c r="F6" s="10"/>
    </row>
    <row r="7" spans="1:6" x14ac:dyDescent="0.2">
      <c r="A7" s="45"/>
      <c r="B7" s="45"/>
      <c r="C7" s="45"/>
      <c r="D7" s="47"/>
      <c r="E7" s="3" t="s">
        <v>146</v>
      </c>
      <c r="F7" s="10"/>
    </row>
    <row r="8" spans="1:6" x14ac:dyDescent="0.2">
      <c r="A8" s="2" t="s">
        <v>68</v>
      </c>
      <c r="B8" s="2" t="s">
        <v>72</v>
      </c>
      <c r="C8" s="2" t="s">
        <v>38</v>
      </c>
      <c r="D8" s="8">
        <v>2019</v>
      </c>
      <c r="E8" s="3" t="s">
        <v>37</v>
      </c>
      <c r="F8" s="10"/>
    </row>
    <row r="9" spans="1:6" x14ac:dyDescent="0.2">
      <c r="A9" s="46" t="s">
        <v>69</v>
      </c>
      <c r="B9" s="46" t="s">
        <v>73</v>
      </c>
      <c r="C9" s="46" t="s">
        <v>44</v>
      </c>
      <c r="D9" s="47">
        <v>2021</v>
      </c>
      <c r="E9" s="3" t="s">
        <v>7</v>
      </c>
      <c r="F9" s="10"/>
    </row>
    <row r="10" spans="1:6" x14ac:dyDescent="0.2">
      <c r="A10" s="46"/>
      <c r="B10" s="46"/>
      <c r="C10" s="46"/>
      <c r="D10" s="47"/>
      <c r="E10" s="3" t="s">
        <v>146</v>
      </c>
      <c r="F10" s="10"/>
    </row>
    <row r="11" spans="1:6" x14ac:dyDescent="0.2">
      <c r="A11" s="46" t="s">
        <v>69</v>
      </c>
      <c r="B11" s="46" t="s">
        <v>74</v>
      </c>
      <c r="C11" s="46" t="s">
        <v>47</v>
      </c>
      <c r="D11" s="47" t="s">
        <v>31</v>
      </c>
      <c r="E11" s="3" t="s">
        <v>34</v>
      </c>
      <c r="F11" s="10"/>
    </row>
    <row r="12" spans="1:6" x14ac:dyDescent="0.2">
      <c r="A12" s="46"/>
      <c r="B12" s="46"/>
      <c r="C12" s="46"/>
      <c r="D12" s="47"/>
      <c r="E12" s="3" t="s">
        <v>9</v>
      </c>
      <c r="F12" s="10"/>
    </row>
    <row r="13" spans="1:6" x14ac:dyDescent="0.2">
      <c r="A13" s="46"/>
      <c r="B13" s="6" t="s">
        <v>79</v>
      </c>
      <c r="C13" s="46"/>
      <c r="D13" s="47"/>
      <c r="E13" s="3" t="s">
        <v>80</v>
      </c>
      <c r="F13" s="10"/>
    </row>
    <row r="14" spans="1:6" x14ac:dyDescent="0.2">
      <c r="A14" s="46" t="s">
        <v>69</v>
      </c>
      <c r="B14" s="45" t="s">
        <v>78</v>
      </c>
      <c r="C14" s="45" t="s">
        <v>53</v>
      </c>
      <c r="D14" s="47">
        <v>2022</v>
      </c>
      <c r="E14" s="3" t="s">
        <v>7</v>
      </c>
      <c r="F14" s="10"/>
    </row>
    <row r="15" spans="1:6" x14ac:dyDescent="0.2">
      <c r="A15" s="46"/>
      <c r="B15" s="45"/>
      <c r="C15" s="45"/>
      <c r="D15" s="47"/>
      <c r="E15" s="3" t="s">
        <v>146</v>
      </c>
      <c r="F15" s="10"/>
    </row>
    <row r="16" spans="1:6" x14ac:dyDescent="0.2">
      <c r="A16" s="45" t="s">
        <v>69</v>
      </c>
      <c r="B16" s="45" t="s">
        <v>77</v>
      </c>
      <c r="C16" s="45" t="s">
        <v>58</v>
      </c>
      <c r="D16" s="47">
        <v>2023</v>
      </c>
      <c r="E16" s="3" t="s">
        <v>7</v>
      </c>
      <c r="F16" s="10"/>
    </row>
    <row r="17" spans="1:6" x14ac:dyDescent="0.2">
      <c r="A17" s="45"/>
      <c r="B17" s="45"/>
      <c r="C17" s="45"/>
      <c r="D17" s="47"/>
      <c r="E17" s="3" t="s">
        <v>146</v>
      </c>
      <c r="F17" s="10"/>
    </row>
    <row r="18" spans="1:6" x14ac:dyDescent="0.2">
      <c r="A18" s="45"/>
      <c r="B18" s="45"/>
      <c r="C18" s="45"/>
      <c r="D18" s="47"/>
      <c r="E18" s="3" t="s">
        <v>9</v>
      </c>
      <c r="F18" s="10"/>
    </row>
    <row r="19" spans="1:6" x14ac:dyDescent="0.2">
      <c r="A19" s="2" t="s">
        <v>69</v>
      </c>
      <c r="B19" s="45" t="s">
        <v>76</v>
      </c>
      <c r="C19" s="45" t="s">
        <v>59</v>
      </c>
      <c r="D19" s="47">
        <v>2024</v>
      </c>
      <c r="E19" s="3" t="s">
        <v>7</v>
      </c>
      <c r="F19" s="10"/>
    </row>
    <row r="20" spans="1:6" x14ac:dyDescent="0.2">
      <c r="A20" s="2" t="s">
        <v>69</v>
      </c>
      <c r="B20" s="45"/>
      <c r="C20" s="45"/>
      <c r="D20" s="47"/>
      <c r="E20" s="3" t="s">
        <v>146</v>
      </c>
      <c r="F20" s="10"/>
    </row>
  </sheetData>
  <mergeCells count="27">
    <mergeCell ref="B19:B20"/>
    <mergeCell ref="C19:C20"/>
    <mergeCell ref="D19:D20"/>
    <mergeCell ref="A6:A7"/>
    <mergeCell ref="B6:B7"/>
    <mergeCell ref="C6:C7"/>
    <mergeCell ref="D6:D7"/>
    <mergeCell ref="A11:A13"/>
    <mergeCell ref="C11:C13"/>
    <mergeCell ref="D11:D13"/>
    <mergeCell ref="A14:A15"/>
    <mergeCell ref="B14:B15"/>
    <mergeCell ref="C14:C15"/>
    <mergeCell ref="D14:D15"/>
    <mergeCell ref="B16:B18"/>
    <mergeCell ref="C16:C18"/>
    <mergeCell ref="A2:A5"/>
    <mergeCell ref="B2:B5"/>
    <mergeCell ref="C2:C5"/>
    <mergeCell ref="D2:D5"/>
    <mergeCell ref="D16:D18"/>
    <mergeCell ref="A9:A10"/>
    <mergeCell ref="B9:B10"/>
    <mergeCell ref="C9:C10"/>
    <mergeCell ref="D9:D10"/>
    <mergeCell ref="B11:B12"/>
    <mergeCell ref="A16:A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6BD0-321E-A046-A77B-484696D3B741}">
  <sheetPr codeName="Sheet4">
    <tabColor rgb="FF288552"/>
  </sheetPr>
  <dimension ref="A1:F36"/>
  <sheetViews>
    <sheetView topLeftCell="A4" workbookViewId="0">
      <selection activeCell="D17" sqref="D17:D19"/>
    </sheetView>
  </sheetViews>
  <sheetFormatPr baseColWidth="10" defaultRowHeight="16" x14ac:dyDescent="0.2"/>
  <cols>
    <col min="1" max="1" width="20.83203125" style="12" customWidth="1"/>
    <col min="2" max="2" width="12.83203125" style="2" customWidth="1"/>
    <col min="3" max="3" width="30.83203125" style="2" customWidth="1"/>
    <col min="4" max="4" width="10.83203125" style="8"/>
    <col min="5" max="5" width="20.83203125" style="3" customWidth="1"/>
  </cols>
  <sheetData>
    <row r="1" spans="1:6" s="5" customFormat="1" ht="17" x14ac:dyDescent="0.2">
      <c r="A1" s="4" t="s">
        <v>1</v>
      </c>
      <c r="B1" s="1" t="s">
        <v>0</v>
      </c>
      <c r="C1" s="1" t="s">
        <v>2</v>
      </c>
      <c r="D1" s="7" t="s">
        <v>12</v>
      </c>
      <c r="E1" s="1" t="s">
        <v>6</v>
      </c>
      <c r="F1" s="5" t="s">
        <v>13</v>
      </c>
    </row>
    <row r="2" spans="1:6" x14ac:dyDescent="0.2">
      <c r="A2" s="49" t="s">
        <v>81</v>
      </c>
      <c r="B2" s="45" t="s">
        <v>82</v>
      </c>
      <c r="C2" s="45" t="s">
        <v>5</v>
      </c>
      <c r="D2" s="47">
        <v>2016</v>
      </c>
      <c r="E2" s="3" t="s">
        <v>7</v>
      </c>
      <c r="F2" s="10"/>
    </row>
    <row r="3" spans="1:6" x14ac:dyDescent="0.2">
      <c r="A3" s="49"/>
      <c r="B3" s="45"/>
      <c r="C3" s="45"/>
      <c r="D3" s="47"/>
      <c r="E3" s="3" t="s">
        <v>146</v>
      </c>
      <c r="F3" s="10"/>
    </row>
    <row r="4" spans="1:6" x14ac:dyDescent="0.2">
      <c r="A4" s="49"/>
      <c r="B4" s="45"/>
      <c r="C4" s="45"/>
      <c r="D4" s="47"/>
      <c r="E4" s="3" t="s">
        <v>83</v>
      </c>
      <c r="F4" s="10"/>
    </row>
    <row r="5" spans="1:6" x14ac:dyDescent="0.2">
      <c r="A5" s="49"/>
      <c r="B5" s="45"/>
      <c r="C5" s="45"/>
      <c r="D5" s="47"/>
      <c r="E5" s="3" t="s">
        <v>10</v>
      </c>
      <c r="F5" s="10"/>
    </row>
    <row r="6" spans="1:6" x14ac:dyDescent="0.2">
      <c r="A6" s="49"/>
      <c r="B6" s="45"/>
      <c r="C6" s="45"/>
      <c r="D6" s="47"/>
      <c r="E6" s="3" t="s">
        <v>84</v>
      </c>
      <c r="F6" s="10"/>
    </row>
    <row r="7" spans="1:6" x14ac:dyDescent="0.2">
      <c r="A7" s="49" t="s">
        <v>86</v>
      </c>
      <c r="B7" s="45" t="s">
        <v>85</v>
      </c>
      <c r="C7" s="45"/>
      <c r="D7" s="47"/>
      <c r="E7" s="3" t="s">
        <v>34</v>
      </c>
      <c r="F7" s="10"/>
    </row>
    <row r="8" spans="1:6" x14ac:dyDescent="0.2">
      <c r="A8" s="49"/>
      <c r="B8" s="45"/>
      <c r="C8" s="45"/>
      <c r="D8" s="47"/>
      <c r="E8" s="3" t="s">
        <v>11</v>
      </c>
      <c r="F8" s="10"/>
    </row>
    <row r="9" spans="1:6" x14ac:dyDescent="0.2">
      <c r="A9" s="49"/>
      <c r="B9" s="45"/>
      <c r="C9" s="45"/>
      <c r="D9" s="47"/>
      <c r="E9" s="3" t="s">
        <v>87</v>
      </c>
      <c r="F9" s="10"/>
    </row>
    <row r="10" spans="1:6" x14ac:dyDescent="0.2">
      <c r="A10" s="49" t="s">
        <v>86</v>
      </c>
      <c r="B10" s="45" t="s">
        <v>88</v>
      </c>
      <c r="C10" s="45" t="s">
        <v>15</v>
      </c>
      <c r="D10" s="47">
        <v>2017</v>
      </c>
      <c r="F10" s="10"/>
    </row>
    <row r="11" spans="1:6" x14ac:dyDescent="0.2">
      <c r="A11" s="49"/>
      <c r="B11" s="45"/>
      <c r="C11" s="45"/>
      <c r="D11" s="47"/>
      <c r="E11" s="3" t="s">
        <v>87</v>
      </c>
      <c r="F11" s="10"/>
    </row>
    <row r="12" spans="1:6" ht="17" x14ac:dyDescent="0.2">
      <c r="A12" s="12" t="s">
        <v>81</v>
      </c>
      <c r="B12" s="2" t="s">
        <v>89</v>
      </c>
      <c r="C12" s="45"/>
      <c r="D12" s="47"/>
      <c r="E12" s="3" t="s">
        <v>9</v>
      </c>
      <c r="F12" s="10"/>
    </row>
    <row r="13" spans="1:6" ht="17" x14ac:dyDescent="0.2">
      <c r="A13" s="12" t="s">
        <v>86</v>
      </c>
      <c r="B13" s="2" t="s">
        <v>91</v>
      </c>
      <c r="C13" s="2" t="s">
        <v>92</v>
      </c>
      <c r="D13" s="8">
        <v>2017</v>
      </c>
      <c r="E13" s="3" t="s">
        <v>93</v>
      </c>
      <c r="F13" s="10"/>
    </row>
    <row r="14" spans="1:6" ht="17" x14ac:dyDescent="0.2">
      <c r="A14" s="12" t="s">
        <v>86</v>
      </c>
      <c r="B14" s="2" t="s">
        <v>90</v>
      </c>
      <c r="C14" s="2" t="s">
        <v>38</v>
      </c>
      <c r="D14" s="8" t="s">
        <v>28</v>
      </c>
      <c r="E14" s="3" t="s">
        <v>37</v>
      </c>
      <c r="F14" s="10"/>
    </row>
    <row r="15" spans="1:6" x14ac:dyDescent="0.2">
      <c r="A15" s="48" t="s">
        <v>81</v>
      </c>
      <c r="B15" s="46" t="s">
        <v>94</v>
      </c>
      <c r="C15" s="46" t="s">
        <v>39</v>
      </c>
      <c r="D15" s="47" t="s">
        <v>28</v>
      </c>
      <c r="E15" s="3" t="s">
        <v>34</v>
      </c>
      <c r="F15" s="10"/>
    </row>
    <row r="16" spans="1:6" x14ac:dyDescent="0.2">
      <c r="A16" s="48"/>
      <c r="B16" s="46"/>
      <c r="C16" s="46"/>
      <c r="D16" s="47"/>
      <c r="E16" s="3" t="s">
        <v>146</v>
      </c>
      <c r="F16" s="10"/>
    </row>
    <row r="17" spans="1:6" x14ac:dyDescent="0.2">
      <c r="A17" s="48" t="s">
        <v>81</v>
      </c>
      <c r="B17" s="46" t="s">
        <v>95</v>
      </c>
      <c r="C17" s="46" t="s">
        <v>44</v>
      </c>
      <c r="D17" s="47" t="s">
        <v>29</v>
      </c>
      <c r="E17" s="3" t="s">
        <v>34</v>
      </c>
      <c r="F17" s="10"/>
    </row>
    <row r="18" spans="1:6" x14ac:dyDescent="0.2">
      <c r="A18" s="48"/>
      <c r="B18" s="46"/>
      <c r="C18" s="46"/>
      <c r="D18" s="47"/>
      <c r="E18" s="3" t="s">
        <v>146</v>
      </c>
      <c r="F18" s="10"/>
    </row>
    <row r="19" spans="1:6" x14ac:dyDescent="0.2">
      <c r="A19" s="48"/>
      <c r="B19" s="46"/>
      <c r="C19" s="46"/>
      <c r="D19" s="47"/>
      <c r="E19" s="3" t="s">
        <v>98</v>
      </c>
      <c r="F19" s="10"/>
    </row>
    <row r="20" spans="1:6" x14ac:dyDescent="0.2">
      <c r="A20" s="48" t="s">
        <v>81</v>
      </c>
      <c r="B20" s="46" t="s">
        <v>101</v>
      </c>
      <c r="C20" s="46" t="s">
        <v>43</v>
      </c>
      <c r="D20" s="47">
        <v>2020</v>
      </c>
      <c r="E20" s="3" t="s">
        <v>102</v>
      </c>
      <c r="F20" s="10"/>
    </row>
    <row r="21" spans="1:6" x14ac:dyDescent="0.2">
      <c r="A21" s="48"/>
      <c r="B21" s="46"/>
      <c r="C21" s="46"/>
      <c r="D21" s="47"/>
      <c r="E21" s="3" t="s">
        <v>103</v>
      </c>
      <c r="F21" s="10"/>
    </row>
    <row r="22" spans="1:6" ht="17" x14ac:dyDescent="0.2">
      <c r="A22" s="9" t="s">
        <v>104</v>
      </c>
      <c r="B22" s="6" t="s">
        <v>105</v>
      </c>
      <c r="C22" s="46"/>
      <c r="D22" s="8">
        <v>2022</v>
      </c>
      <c r="F22" s="10"/>
    </row>
    <row r="23" spans="1:6" x14ac:dyDescent="0.2">
      <c r="A23" s="48" t="s">
        <v>81</v>
      </c>
      <c r="B23" s="46" t="s">
        <v>96</v>
      </c>
      <c r="C23" s="46" t="s">
        <v>47</v>
      </c>
      <c r="D23" s="47" t="s">
        <v>30</v>
      </c>
      <c r="E23" s="3" t="s">
        <v>34</v>
      </c>
      <c r="F23" s="10"/>
    </row>
    <row r="24" spans="1:6" x14ac:dyDescent="0.2">
      <c r="A24" s="48"/>
      <c r="B24" s="46"/>
      <c r="C24" s="46"/>
      <c r="D24" s="47"/>
      <c r="E24" s="3" t="s">
        <v>146</v>
      </c>
      <c r="F24" s="10"/>
    </row>
    <row r="25" spans="1:6" x14ac:dyDescent="0.2">
      <c r="A25" s="48"/>
      <c r="B25" s="6" t="s">
        <v>97</v>
      </c>
      <c r="C25" s="46"/>
      <c r="D25" s="47"/>
      <c r="E25" s="3" t="s">
        <v>80</v>
      </c>
      <c r="F25" s="10"/>
    </row>
    <row r="26" spans="1:6" x14ac:dyDescent="0.2">
      <c r="A26" s="49" t="s">
        <v>99</v>
      </c>
      <c r="B26" s="45" t="s">
        <v>100</v>
      </c>
      <c r="C26" s="45" t="s">
        <v>53</v>
      </c>
      <c r="D26" s="47">
        <v>2022</v>
      </c>
      <c r="E26" s="3" t="s">
        <v>34</v>
      </c>
      <c r="F26" s="10"/>
    </row>
    <row r="27" spans="1:6" x14ac:dyDescent="0.2">
      <c r="A27" s="49"/>
      <c r="B27" s="45"/>
      <c r="C27" s="45"/>
      <c r="D27" s="47"/>
      <c r="E27" s="3" t="s">
        <v>146</v>
      </c>
      <c r="F27" s="10"/>
    </row>
    <row r="28" spans="1:6" x14ac:dyDescent="0.2">
      <c r="A28" s="49" t="s">
        <v>104</v>
      </c>
      <c r="B28" s="45" t="s">
        <v>108</v>
      </c>
      <c r="C28" s="45"/>
      <c r="D28" s="47"/>
      <c r="F28" s="10"/>
    </row>
    <row r="29" spans="1:6" x14ac:dyDescent="0.2">
      <c r="A29" s="49"/>
      <c r="B29" s="45"/>
      <c r="C29" s="45"/>
      <c r="D29" s="47"/>
      <c r="E29" s="3" t="s">
        <v>113</v>
      </c>
      <c r="F29" s="10"/>
    </row>
    <row r="30" spans="1:6" x14ac:dyDescent="0.2">
      <c r="A30" s="49"/>
      <c r="B30" s="2" t="s">
        <v>109</v>
      </c>
      <c r="C30" s="45"/>
      <c r="D30" s="47"/>
      <c r="E30" s="3" t="s">
        <v>114</v>
      </c>
      <c r="F30" s="10"/>
    </row>
    <row r="31" spans="1:6" x14ac:dyDescent="0.2">
      <c r="A31" s="49" t="s">
        <v>106</v>
      </c>
      <c r="B31" s="45" t="s">
        <v>110</v>
      </c>
      <c r="C31" s="45"/>
      <c r="D31" s="47"/>
      <c r="F31" s="10"/>
    </row>
    <row r="32" spans="1:6" x14ac:dyDescent="0.2">
      <c r="A32" s="49"/>
      <c r="B32" s="45"/>
      <c r="C32" s="45"/>
      <c r="D32" s="47"/>
      <c r="E32" s="3" t="s">
        <v>113</v>
      </c>
      <c r="F32" s="10"/>
    </row>
    <row r="33" spans="1:6" x14ac:dyDescent="0.2">
      <c r="A33" s="49"/>
      <c r="B33" s="2" t="s">
        <v>111</v>
      </c>
      <c r="C33" s="45"/>
      <c r="D33" s="47"/>
      <c r="E33" s="3" t="s">
        <v>93</v>
      </c>
      <c r="F33" s="10"/>
    </row>
    <row r="34" spans="1:6" ht="17" x14ac:dyDescent="0.2">
      <c r="A34" s="12" t="s">
        <v>107</v>
      </c>
      <c r="B34" s="2" t="s">
        <v>112</v>
      </c>
      <c r="C34" s="2" t="s">
        <v>58</v>
      </c>
      <c r="D34" s="8">
        <v>2023</v>
      </c>
      <c r="F34" s="10"/>
    </row>
    <row r="35" spans="1:6" ht="17" customHeight="1" x14ac:dyDescent="0.2">
      <c r="A35" s="49" t="s">
        <v>81</v>
      </c>
      <c r="B35" s="45" t="s">
        <v>115</v>
      </c>
      <c r="C35" s="45" t="s">
        <v>59</v>
      </c>
      <c r="D35" s="47">
        <v>2024</v>
      </c>
      <c r="E35" s="3" t="s">
        <v>34</v>
      </c>
      <c r="F35" s="10"/>
    </row>
    <row r="36" spans="1:6" x14ac:dyDescent="0.2">
      <c r="A36" s="49"/>
      <c r="B36" s="45"/>
      <c r="C36" s="45"/>
      <c r="D36" s="47"/>
      <c r="E36" s="3" t="s">
        <v>146</v>
      </c>
      <c r="F36" s="10"/>
    </row>
  </sheetData>
  <mergeCells count="38">
    <mergeCell ref="A28:A30"/>
    <mergeCell ref="A31:A33"/>
    <mergeCell ref="B28:B29"/>
    <mergeCell ref="A35:A36"/>
    <mergeCell ref="C35:C36"/>
    <mergeCell ref="D35:D36"/>
    <mergeCell ref="C26:C33"/>
    <mergeCell ref="D26:D33"/>
    <mergeCell ref="B31:B32"/>
    <mergeCell ref="B35:B36"/>
    <mergeCell ref="C20:C22"/>
    <mergeCell ref="B20:B21"/>
    <mergeCell ref="D20:D21"/>
    <mergeCell ref="A20:A21"/>
    <mergeCell ref="C17:C19"/>
    <mergeCell ref="D17:D19"/>
    <mergeCell ref="A26:A27"/>
    <mergeCell ref="B26:B27"/>
    <mergeCell ref="A17:A19"/>
    <mergeCell ref="B17:B19"/>
    <mergeCell ref="A23:A25"/>
    <mergeCell ref="B23:B24"/>
    <mergeCell ref="A2:A6"/>
    <mergeCell ref="B2:B6"/>
    <mergeCell ref="C2:C9"/>
    <mergeCell ref="D2:D9"/>
    <mergeCell ref="C23:C25"/>
    <mergeCell ref="D23:D25"/>
    <mergeCell ref="A15:A16"/>
    <mergeCell ref="B15:B16"/>
    <mergeCell ref="C15:C16"/>
    <mergeCell ref="D15:D16"/>
    <mergeCell ref="A7:A9"/>
    <mergeCell ref="B7:B9"/>
    <mergeCell ref="C10:C12"/>
    <mergeCell ref="D10:D12"/>
    <mergeCell ref="A10:A11"/>
    <mergeCell ref="B10:B11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B458-B205-2B4B-85D9-1FD907EB9E54}">
  <sheetPr codeName="Sheet7">
    <tabColor rgb="FF76DEEE"/>
  </sheetPr>
  <dimension ref="A1:G32"/>
  <sheetViews>
    <sheetView workbookViewId="0">
      <selection activeCell="F16" sqref="F16"/>
    </sheetView>
  </sheetViews>
  <sheetFormatPr baseColWidth="10" defaultRowHeight="16" x14ac:dyDescent="0.2"/>
  <cols>
    <col min="1" max="1" width="20.83203125" style="12" customWidth="1"/>
    <col min="2" max="2" width="12.83203125" style="2" customWidth="1"/>
    <col min="3" max="3" width="30.83203125" style="2" customWidth="1"/>
    <col min="4" max="4" width="10.83203125" style="8"/>
    <col min="5" max="5" width="20.83203125" style="3" customWidth="1"/>
  </cols>
  <sheetData>
    <row r="1" spans="1:6" s="25" customFormat="1" ht="17" x14ac:dyDescent="0.2">
      <c r="A1" s="22" t="s">
        <v>1</v>
      </c>
      <c r="B1" s="23" t="s">
        <v>0</v>
      </c>
      <c r="C1" s="23" t="s">
        <v>2</v>
      </c>
      <c r="D1" s="24" t="s">
        <v>12</v>
      </c>
      <c r="E1" s="23" t="s">
        <v>6</v>
      </c>
      <c r="F1" s="25" t="s">
        <v>13</v>
      </c>
    </row>
    <row r="2" spans="1:6" ht="17" customHeight="1" x14ac:dyDescent="0.2">
      <c r="A2" s="49" t="s">
        <v>130</v>
      </c>
      <c r="B2" s="45" t="s">
        <v>131</v>
      </c>
      <c r="C2" s="45" t="s">
        <v>132</v>
      </c>
      <c r="D2" s="47">
        <v>2011</v>
      </c>
      <c r="E2" s="3" t="s">
        <v>133</v>
      </c>
      <c r="F2" s="10"/>
    </row>
    <row r="3" spans="1:6" x14ac:dyDescent="0.2">
      <c r="A3" s="49"/>
      <c r="B3" s="45"/>
      <c r="C3" s="45"/>
      <c r="D3" s="47"/>
      <c r="E3" s="3" t="s">
        <v>8</v>
      </c>
      <c r="F3" s="10"/>
    </row>
    <row r="4" spans="1:6" x14ac:dyDescent="0.2">
      <c r="A4" s="49"/>
      <c r="B4" s="45"/>
      <c r="C4" s="45"/>
      <c r="D4" s="47"/>
      <c r="E4" s="3" t="s">
        <v>9</v>
      </c>
      <c r="F4" s="10"/>
    </row>
    <row r="5" spans="1:6" x14ac:dyDescent="0.2">
      <c r="A5" s="49"/>
      <c r="B5" s="45"/>
      <c r="C5" s="45"/>
      <c r="D5" s="47"/>
      <c r="E5" s="3" t="s">
        <v>84</v>
      </c>
      <c r="F5" s="26"/>
    </row>
    <row r="6" spans="1:6" x14ac:dyDescent="0.2">
      <c r="A6" s="49"/>
      <c r="B6" s="45" t="s">
        <v>134</v>
      </c>
      <c r="C6" s="45"/>
      <c r="D6" s="47"/>
      <c r="E6" s="3" t="s">
        <v>7</v>
      </c>
      <c r="F6" s="10"/>
    </row>
    <row r="7" spans="1:6" x14ac:dyDescent="0.2">
      <c r="A7" s="49"/>
      <c r="B7" s="45"/>
      <c r="C7" s="45"/>
      <c r="D7" s="47"/>
      <c r="E7" s="3" t="s">
        <v>8</v>
      </c>
      <c r="F7" s="26"/>
    </row>
    <row r="8" spans="1:6" ht="17" x14ac:dyDescent="0.2">
      <c r="A8" s="12" t="s">
        <v>135</v>
      </c>
      <c r="B8" s="2" t="s">
        <v>136</v>
      </c>
      <c r="C8" s="2" t="s">
        <v>137</v>
      </c>
      <c r="D8" s="8">
        <v>2011</v>
      </c>
      <c r="E8" s="3" t="s">
        <v>87</v>
      </c>
      <c r="F8" s="10"/>
    </row>
    <row r="9" spans="1:6" ht="17" customHeight="1" x14ac:dyDescent="0.2">
      <c r="A9" s="49" t="s">
        <v>130</v>
      </c>
      <c r="B9" s="45" t="s">
        <v>139</v>
      </c>
      <c r="C9" s="45" t="s">
        <v>138</v>
      </c>
      <c r="D9" s="47">
        <v>2011</v>
      </c>
      <c r="E9" s="3" t="s">
        <v>34</v>
      </c>
      <c r="F9" s="10"/>
    </row>
    <row r="10" spans="1:6" x14ac:dyDescent="0.2">
      <c r="A10" s="49"/>
      <c r="B10" s="45"/>
      <c r="C10" s="45"/>
      <c r="D10" s="47"/>
      <c r="E10" s="3" t="s">
        <v>36</v>
      </c>
      <c r="F10" s="26"/>
    </row>
    <row r="11" spans="1:6" x14ac:dyDescent="0.2">
      <c r="A11" s="49"/>
      <c r="B11" s="2" t="s">
        <v>140</v>
      </c>
      <c r="C11" s="45"/>
      <c r="D11" s="47"/>
      <c r="F11" s="10"/>
    </row>
    <row r="12" spans="1:6" ht="17" x14ac:dyDescent="0.2">
      <c r="A12" s="12" t="s">
        <v>130</v>
      </c>
      <c r="B12" s="2" t="s">
        <v>141</v>
      </c>
      <c r="C12" s="2" t="s">
        <v>142</v>
      </c>
      <c r="D12" s="8">
        <v>2011</v>
      </c>
      <c r="F12" s="10"/>
    </row>
    <row r="13" spans="1:6" ht="17" customHeight="1" x14ac:dyDescent="0.2">
      <c r="A13" s="49" t="s">
        <v>130</v>
      </c>
      <c r="B13" s="45" t="s">
        <v>144</v>
      </c>
      <c r="C13" s="45" t="s">
        <v>143</v>
      </c>
      <c r="D13" s="47">
        <v>2012</v>
      </c>
      <c r="E13" s="3" t="s">
        <v>7</v>
      </c>
      <c r="F13" s="10"/>
    </row>
    <row r="14" spans="1:6" x14ac:dyDescent="0.2">
      <c r="A14" s="49"/>
      <c r="B14" s="45"/>
      <c r="C14" s="45"/>
      <c r="D14" s="47"/>
      <c r="E14" s="3" t="s">
        <v>8</v>
      </c>
      <c r="F14" s="10"/>
    </row>
    <row r="15" spans="1:6" ht="17" customHeight="1" x14ac:dyDescent="0.2">
      <c r="A15" s="49" t="s">
        <v>130</v>
      </c>
      <c r="B15" s="45" t="s">
        <v>147</v>
      </c>
      <c r="C15" s="45" t="s">
        <v>145</v>
      </c>
      <c r="D15" s="47">
        <v>2013</v>
      </c>
      <c r="E15" s="3" t="s">
        <v>7</v>
      </c>
      <c r="F15" s="10"/>
    </row>
    <row r="16" spans="1:6" x14ac:dyDescent="0.2">
      <c r="A16" s="49"/>
      <c r="B16" s="45"/>
      <c r="C16" s="45"/>
      <c r="D16" s="47"/>
      <c r="E16" s="3" t="s">
        <v>146</v>
      </c>
      <c r="F16" s="10"/>
    </row>
    <row r="17" spans="1:7" ht="17" customHeight="1" x14ac:dyDescent="0.2">
      <c r="A17" s="49" t="s">
        <v>130</v>
      </c>
      <c r="B17" s="45" t="s">
        <v>148</v>
      </c>
      <c r="C17" s="45" t="s">
        <v>149</v>
      </c>
      <c r="D17" s="47">
        <v>2016</v>
      </c>
      <c r="E17" s="3" t="s">
        <v>7</v>
      </c>
      <c r="F17" s="10"/>
    </row>
    <row r="18" spans="1:7" x14ac:dyDescent="0.2">
      <c r="A18" s="49"/>
      <c r="B18" s="45"/>
      <c r="C18" s="45"/>
      <c r="D18" s="47"/>
      <c r="E18" s="3" t="s">
        <v>146</v>
      </c>
      <c r="F18" s="10"/>
    </row>
    <row r="19" spans="1:7" ht="17" customHeight="1" x14ac:dyDescent="0.2">
      <c r="A19" s="49" t="s">
        <v>130</v>
      </c>
      <c r="B19" s="45" t="s">
        <v>151</v>
      </c>
      <c r="C19" s="45" t="s">
        <v>152</v>
      </c>
      <c r="D19" s="47">
        <v>2020</v>
      </c>
      <c r="E19" s="3" t="s">
        <v>7</v>
      </c>
      <c r="F19" s="10"/>
    </row>
    <row r="20" spans="1:7" x14ac:dyDescent="0.2">
      <c r="A20" s="49"/>
      <c r="B20" s="45"/>
      <c r="C20" s="45"/>
      <c r="D20" s="47"/>
      <c r="E20" s="3" t="s">
        <v>8</v>
      </c>
      <c r="F20" s="10"/>
    </row>
    <row r="21" spans="1:7" ht="17" customHeight="1" x14ac:dyDescent="0.2">
      <c r="A21" s="49" t="s">
        <v>130</v>
      </c>
      <c r="B21" s="45" t="s">
        <v>153</v>
      </c>
      <c r="C21" s="45" t="s">
        <v>49</v>
      </c>
      <c r="D21" s="47">
        <v>2021</v>
      </c>
      <c r="E21" s="3" t="s">
        <v>7</v>
      </c>
      <c r="F21" s="10"/>
    </row>
    <row r="22" spans="1:7" x14ac:dyDescent="0.2">
      <c r="A22" s="49"/>
      <c r="B22" s="45"/>
      <c r="C22" s="45"/>
      <c r="D22" s="47"/>
      <c r="E22" s="3" t="s">
        <v>50</v>
      </c>
      <c r="F22" s="10"/>
    </row>
    <row r="23" spans="1:7" x14ac:dyDescent="0.2">
      <c r="A23" s="49" t="s">
        <v>130</v>
      </c>
      <c r="B23" s="45" t="s">
        <v>150</v>
      </c>
      <c r="C23" s="46" t="s">
        <v>43</v>
      </c>
      <c r="D23" s="47">
        <v>2022</v>
      </c>
      <c r="E23" s="3" t="s">
        <v>34</v>
      </c>
      <c r="F23" s="10"/>
    </row>
    <row r="24" spans="1:7" x14ac:dyDescent="0.2">
      <c r="A24" s="49"/>
      <c r="B24" s="45"/>
      <c r="C24" s="46"/>
      <c r="D24" s="47"/>
      <c r="E24" s="3" t="s">
        <v>9</v>
      </c>
      <c r="F24" s="10"/>
    </row>
    <row r="25" spans="1:7" ht="17" customHeight="1" x14ac:dyDescent="0.2">
      <c r="A25" s="49" t="s">
        <v>130</v>
      </c>
      <c r="B25" s="45" t="s">
        <v>154</v>
      </c>
      <c r="C25" s="45" t="s">
        <v>53</v>
      </c>
      <c r="D25" s="47">
        <v>2022</v>
      </c>
      <c r="E25" s="3" t="s">
        <v>7</v>
      </c>
      <c r="F25" s="10"/>
    </row>
    <row r="26" spans="1:7" x14ac:dyDescent="0.2">
      <c r="A26" s="49"/>
      <c r="B26" s="45"/>
      <c r="C26" s="45"/>
      <c r="D26" s="47"/>
      <c r="E26" s="3" t="s">
        <v>8</v>
      </c>
      <c r="F26" s="10"/>
    </row>
    <row r="27" spans="1:7" ht="17" customHeight="1" x14ac:dyDescent="0.2">
      <c r="A27" s="49" t="s">
        <v>130</v>
      </c>
      <c r="B27" s="46" t="s">
        <v>401</v>
      </c>
      <c r="C27" s="45" t="s">
        <v>400</v>
      </c>
      <c r="D27" s="47">
        <v>2025</v>
      </c>
      <c r="E27" s="3" t="s">
        <v>7</v>
      </c>
      <c r="F27" s="50"/>
    </row>
    <row r="28" spans="1:7" x14ac:dyDescent="0.2">
      <c r="A28" s="49"/>
      <c r="B28" s="46"/>
      <c r="C28" s="45"/>
      <c r="D28" s="47"/>
      <c r="E28" s="3" t="s">
        <v>146</v>
      </c>
      <c r="F28" s="50"/>
    </row>
    <row r="29" spans="1:7" x14ac:dyDescent="0.2">
      <c r="A29" s="49"/>
      <c r="B29" s="46"/>
      <c r="C29" s="45"/>
      <c r="D29" s="47"/>
      <c r="E29" s="3" t="s">
        <v>34</v>
      </c>
      <c r="F29" s="50"/>
    </row>
    <row r="30" spans="1:7" x14ac:dyDescent="0.2">
      <c r="A30" s="49"/>
      <c r="B30" s="46"/>
      <c r="C30" s="45"/>
      <c r="D30" s="47"/>
      <c r="E30" s="3" t="s">
        <v>403</v>
      </c>
      <c r="F30" s="26"/>
      <c r="G30" t="s">
        <v>407</v>
      </c>
    </row>
    <row r="31" spans="1:7" x14ac:dyDescent="0.2">
      <c r="A31" s="49"/>
      <c r="B31" s="46"/>
      <c r="C31" s="45"/>
      <c r="D31" s="47"/>
      <c r="E31" s="3" t="s">
        <v>404</v>
      </c>
      <c r="F31" s="26"/>
    </row>
    <row r="32" spans="1:7" x14ac:dyDescent="0.2">
      <c r="A32" s="49"/>
      <c r="B32" s="2" t="s">
        <v>402</v>
      </c>
      <c r="C32" s="45"/>
      <c r="D32" s="47"/>
      <c r="E32" s="3" t="s">
        <v>114</v>
      </c>
      <c r="F32" s="50"/>
    </row>
  </sheetData>
  <mergeCells count="41">
    <mergeCell ref="B27:B31"/>
    <mergeCell ref="A27:A32"/>
    <mergeCell ref="C27:C32"/>
    <mergeCell ref="D27:D32"/>
    <mergeCell ref="D19:D20"/>
    <mergeCell ref="D25:D26"/>
    <mergeCell ref="C19:C20"/>
    <mergeCell ref="B19:B20"/>
    <mergeCell ref="A21:A22"/>
    <mergeCell ref="A25:A26"/>
    <mergeCell ref="B25:B26"/>
    <mergeCell ref="C25:C26"/>
    <mergeCell ref="D21:D22"/>
    <mergeCell ref="D13:D14"/>
    <mergeCell ref="C23:C24"/>
    <mergeCell ref="A17:A18"/>
    <mergeCell ref="A23:A24"/>
    <mergeCell ref="B17:B18"/>
    <mergeCell ref="C17:C18"/>
    <mergeCell ref="B23:B24"/>
    <mergeCell ref="D23:D24"/>
    <mergeCell ref="D17:D18"/>
    <mergeCell ref="B21:B22"/>
    <mergeCell ref="C21:C22"/>
    <mergeCell ref="A15:A16"/>
    <mergeCell ref="B15:B16"/>
    <mergeCell ref="C15:C16"/>
    <mergeCell ref="D15:D16"/>
    <mergeCell ref="A19:A20"/>
    <mergeCell ref="D2:D7"/>
    <mergeCell ref="A9:A11"/>
    <mergeCell ref="B9:B10"/>
    <mergeCell ref="C9:C11"/>
    <mergeCell ref="D9:D11"/>
    <mergeCell ref="A13:A14"/>
    <mergeCell ref="C13:C14"/>
    <mergeCell ref="B2:B5"/>
    <mergeCell ref="B6:B7"/>
    <mergeCell ref="A2:A7"/>
    <mergeCell ref="C2:C7"/>
    <mergeCell ref="B13:B14"/>
  </mergeCells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EB045-BA3C-CF4D-9B63-9733364E503E}">
  <sheetPr codeName="Sheet8">
    <tabColor rgb="FF76DEEE"/>
  </sheetPr>
  <dimension ref="A1:F22"/>
  <sheetViews>
    <sheetView workbookViewId="0">
      <selection activeCell="F6" sqref="F6"/>
    </sheetView>
  </sheetViews>
  <sheetFormatPr baseColWidth="10" defaultRowHeight="16" x14ac:dyDescent="0.2"/>
  <cols>
    <col min="1" max="1" width="20.83203125" style="12" customWidth="1"/>
    <col min="2" max="2" width="12.83203125" style="2" customWidth="1"/>
    <col min="3" max="3" width="30.83203125" style="2" customWidth="1"/>
    <col min="4" max="4" width="10.83203125" style="8"/>
    <col min="5" max="5" width="20.83203125" style="3" customWidth="1"/>
  </cols>
  <sheetData>
    <row r="1" spans="1:6" s="25" customFormat="1" ht="17" x14ac:dyDescent="0.2">
      <c r="A1" s="22" t="s">
        <v>1</v>
      </c>
      <c r="B1" s="23" t="s">
        <v>0</v>
      </c>
      <c r="C1" s="23" t="s">
        <v>2</v>
      </c>
      <c r="D1" s="24" t="s">
        <v>12</v>
      </c>
      <c r="E1" s="23" t="s">
        <v>6</v>
      </c>
      <c r="F1" s="25" t="s">
        <v>13</v>
      </c>
    </row>
    <row r="2" spans="1:6" x14ac:dyDescent="0.2">
      <c r="A2" s="49" t="s">
        <v>176</v>
      </c>
      <c r="B2" s="45" t="s">
        <v>177</v>
      </c>
      <c r="C2" s="45" t="s">
        <v>132</v>
      </c>
      <c r="D2" s="47">
        <v>2011</v>
      </c>
      <c r="E2" s="3" t="s">
        <v>133</v>
      </c>
      <c r="F2" s="10"/>
    </row>
    <row r="3" spans="1:6" x14ac:dyDescent="0.2">
      <c r="A3" s="49"/>
      <c r="B3" s="45"/>
      <c r="C3" s="45"/>
      <c r="D3" s="47"/>
      <c r="E3" s="3" t="s">
        <v>146</v>
      </c>
      <c r="F3" s="26"/>
    </row>
    <row r="4" spans="1:6" x14ac:dyDescent="0.2">
      <c r="A4" s="49"/>
      <c r="B4" s="45"/>
      <c r="C4" s="45"/>
      <c r="D4" s="47"/>
      <c r="E4" s="3" t="s">
        <v>83</v>
      </c>
      <c r="F4" s="26"/>
    </row>
    <row r="5" spans="1:6" x14ac:dyDescent="0.2">
      <c r="A5" s="49"/>
      <c r="B5" s="45" t="s">
        <v>148</v>
      </c>
      <c r="C5" s="45"/>
      <c r="D5" s="47"/>
      <c r="E5" s="3" t="s">
        <v>7</v>
      </c>
      <c r="F5" s="10"/>
    </row>
    <row r="6" spans="1:6" x14ac:dyDescent="0.2">
      <c r="A6" s="49"/>
      <c r="B6" s="45"/>
      <c r="C6" s="45"/>
      <c r="D6" s="47"/>
      <c r="E6" s="3" t="s">
        <v>146</v>
      </c>
      <c r="F6" s="26"/>
    </row>
    <row r="7" spans="1:6" ht="17" x14ac:dyDescent="0.2">
      <c r="A7" s="12" t="s">
        <v>176</v>
      </c>
      <c r="B7" s="2" t="s">
        <v>178</v>
      </c>
      <c r="C7" s="2" t="s">
        <v>179</v>
      </c>
      <c r="D7" s="8">
        <v>2012</v>
      </c>
      <c r="F7" s="26"/>
    </row>
    <row r="8" spans="1:6" x14ac:dyDescent="0.2">
      <c r="A8" s="49" t="s">
        <v>176</v>
      </c>
      <c r="B8" s="45" t="s">
        <v>180</v>
      </c>
      <c r="C8" s="45" t="s">
        <v>143</v>
      </c>
      <c r="D8" s="47">
        <v>2012</v>
      </c>
      <c r="E8" s="3" t="s">
        <v>7</v>
      </c>
      <c r="F8" s="10"/>
    </row>
    <row r="9" spans="1:6" x14ac:dyDescent="0.2">
      <c r="A9" s="49"/>
      <c r="B9" s="45"/>
      <c r="C9" s="45"/>
      <c r="D9" s="47"/>
      <c r="E9" s="3" t="s">
        <v>8</v>
      </c>
      <c r="F9" s="10"/>
    </row>
    <row r="10" spans="1:6" x14ac:dyDescent="0.2">
      <c r="A10" s="49" t="s">
        <v>176</v>
      </c>
      <c r="B10" s="45" t="s">
        <v>181</v>
      </c>
      <c r="C10" s="45" t="s">
        <v>145</v>
      </c>
      <c r="D10" s="47">
        <v>2013</v>
      </c>
      <c r="E10" s="3" t="s">
        <v>7</v>
      </c>
      <c r="F10" s="10"/>
    </row>
    <row r="11" spans="1:6" x14ac:dyDescent="0.2">
      <c r="A11" s="49"/>
      <c r="B11" s="45"/>
      <c r="C11" s="45"/>
      <c r="D11" s="47"/>
      <c r="E11" s="3" t="s">
        <v>146</v>
      </c>
      <c r="F11" s="10"/>
    </row>
    <row r="12" spans="1:6" x14ac:dyDescent="0.2">
      <c r="A12" s="49" t="s">
        <v>176</v>
      </c>
      <c r="B12" s="45" t="s">
        <v>182</v>
      </c>
      <c r="C12" s="45" t="s">
        <v>149</v>
      </c>
      <c r="D12" s="47">
        <v>2016</v>
      </c>
      <c r="E12" s="3" t="s">
        <v>7</v>
      </c>
      <c r="F12" s="10"/>
    </row>
    <row r="13" spans="1:6" x14ac:dyDescent="0.2">
      <c r="A13" s="49"/>
      <c r="B13" s="45"/>
      <c r="C13" s="45"/>
      <c r="D13" s="47"/>
      <c r="E13" s="3" t="s">
        <v>146</v>
      </c>
      <c r="F13" s="10"/>
    </row>
    <row r="14" spans="1:6" x14ac:dyDescent="0.2">
      <c r="A14" s="49" t="s">
        <v>176</v>
      </c>
      <c r="B14" s="45" t="s">
        <v>183</v>
      </c>
      <c r="C14" s="45" t="s">
        <v>152</v>
      </c>
      <c r="D14" s="47">
        <v>2020</v>
      </c>
      <c r="E14" s="3" t="s">
        <v>7</v>
      </c>
      <c r="F14" s="10"/>
    </row>
    <row r="15" spans="1:6" x14ac:dyDescent="0.2">
      <c r="A15" s="49"/>
      <c r="B15" s="45"/>
      <c r="C15" s="45"/>
      <c r="D15" s="47"/>
      <c r="E15" s="3" t="s">
        <v>146</v>
      </c>
      <c r="F15" s="10"/>
    </row>
    <row r="16" spans="1:6" x14ac:dyDescent="0.2">
      <c r="A16" s="49" t="s">
        <v>176</v>
      </c>
      <c r="B16" s="45" t="s">
        <v>184</v>
      </c>
      <c r="C16" s="45" t="s">
        <v>53</v>
      </c>
      <c r="D16" s="47">
        <v>2022</v>
      </c>
      <c r="E16" s="3" t="s">
        <v>7</v>
      </c>
      <c r="F16" s="10"/>
    </row>
    <row r="17" spans="1:6" x14ac:dyDescent="0.2">
      <c r="A17" s="49"/>
      <c r="B17" s="45"/>
      <c r="C17" s="45"/>
      <c r="D17" s="47"/>
      <c r="E17" s="3" t="s">
        <v>146</v>
      </c>
      <c r="F17" s="10"/>
    </row>
    <row r="18" spans="1:6" x14ac:dyDescent="0.2">
      <c r="A18" s="49" t="s">
        <v>176</v>
      </c>
      <c r="B18" s="46" t="s">
        <v>405</v>
      </c>
      <c r="C18" s="45" t="s">
        <v>400</v>
      </c>
      <c r="D18" s="47">
        <v>2025</v>
      </c>
      <c r="E18" s="3" t="s">
        <v>7</v>
      </c>
      <c r="F18" s="50"/>
    </row>
    <row r="19" spans="1:6" x14ac:dyDescent="0.2">
      <c r="A19" s="49"/>
      <c r="B19" s="46"/>
      <c r="C19" s="45"/>
      <c r="D19" s="47"/>
      <c r="E19" s="3" t="s">
        <v>146</v>
      </c>
      <c r="F19" s="50"/>
    </row>
    <row r="20" spans="1:6" x14ac:dyDescent="0.2">
      <c r="A20" s="49"/>
      <c r="B20" s="46"/>
      <c r="C20" s="45"/>
      <c r="D20" s="47"/>
      <c r="E20" s="3" t="s">
        <v>403</v>
      </c>
      <c r="F20" s="50"/>
    </row>
    <row r="21" spans="1:6" x14ac:dyDescent="0.2">
      <c r="A21" s="49"/>
      <c r="B21" s="46"/>
      <c r="C21" s="45"/>
      <c r="D21" s="47"/>
      <c r="E21" s="3" t="s">
        <v>404</v>
      </c>
      <c r="F21" s="26"/>
    </row>
    <row r="22" spans="1:6" x14ac:dyDescent="0.2">
      <c r="A22" s="49"/>
      <c r="B22" s="2" t="s">
        <v>406</v>
      </c>
      <c r="C22" s="45"/>
      <c r="D22" s="47"/>
      <c r="E22" s="3" t="s">
        <v>114</v>
      </c>
      <c r="F22" s="50"/>
    </row>
  </sheetData>
  <mergeCells count="29">
    <mergeCell ref="A18:A22"/>
    <mergeCell ref="B18:B21"/>
    <mergeCell ref="C18:C22"/>
    <mergeCell ref="D18:D22"/>
    <mergeCell ref="A8:A9"/>
    <mergeCell ref="B8:B9"/>
    <mergeCell ref="C8:C9"/>
    <mergeCell ref="D8:D9"/>
    <mergeCell ref="A2:A6"/>
    <mergeCell ref="B2:B4"/>
    <mergeCell ref="C2:C6"/>
    <mergeCell ref="D2:D6"/>
    <mergeCell ref="B5:B6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4450-795A-5A4E-9995-DB5077E191AE}">
  <sheetPr codeName="Sheet9">
    <tabColor rgb="FF76DEEE"/>
  </sheetPr>
  <dimension ref="A1:F36"/>
  <sheetViews>
    <sheetView workbookViewId="0">
      <selection activeCell="F14" sqref="F14"/>
    </sheetView>
  </sheetViews>
  <sheetFormatPr baseColWidth="10" defaultRowHeight="16" x14ac:dyDescent="0.2"/>
  <cols>
    <col min="1" max="1" width="20.83203125" style="12" customWidth="1"/>
    <col min="2" max="2" width="12.83203125" style="2" customWidth="1"/>
    <col min="3" max="3" width="30.83203125" style="2" customWidth="1"/>
    <col min="4" max="4" width="10.83203125" style="8"/>
    <col min="5" max="5" width="20.83203125" style="3" customWidth="1"/>
  </cols>
  <sheetData>
    <row r="1" spans="1:6" s="25" customFormat="1" ht="17" x14ac:dyDescent="0.2">
      <c r="A1" s="22" t="s">
        <v>1</v>
      </c>
      <c r="B1" s="23" t="s">
        <v>0</v>
      </c>
      <c r="C1" s="23" t="s">
        <v>2</v>
      </c>
      <c r="D1" s="24" t="s">
        <v>12</v>
      </c>
      <c r="E1" s="23" t="s">
        <v>6</v>
      </c>
      <c r="F1" s="25" t="s">
        <v>13</v>
      </c>
    </row>
    <row r="2" spans="1:6" x14ac:dyDescent="0.2">
      <c r="A2" s="49" t="s">
        <v>185</v>
      </c>
      <c r="B2" s="45" t="s">
        <v>182</v>
      </c>
      <c r="C2" s="45" t="s">
        <v>132</v>
      </c>
      <c r="D2" s="47">
        <v>2011</v>
      </c>
      <c r="E2" s="3" t="s">
        <v>7</v>
      </c>
      <c r="F2" s="26"/>
    </row>
    <row r="3" spans="1:6" x14ac:dyDescent="0.2">
      <c r="A3" s="49"/>
      <c r="B3" s="45"/>
      <c r="C3" s="45"/>
      <c r="D3" s="47"/>
      <c r="E3" s="3" t="s">
        <v>34</v>
      </c>
      <c r="F3" s="10"/>
    </row>
    <row r="4" spans="1:6" x14ac:dyDescent="0.2">
      <c r="A4" s="49"/>
      <c r="B4" s="45"/>
      <c r="C4" s="45"/>
      <c r="D4" s="47"/>
      <c r="E4" s="3" t="s">
        <v>146</v>
      </c>
      <c r="F4" s="10"/>
    </row>
    <row r="5" spans="1:6" x14ac:dyDescent="0.2">
      <c r="A5" s="49"/>
      <c r="B5" s="45"/>
      <c r="C5" s="45"/>
      <c r="D5" s="47"/>
      <c r="E5" s="3" t="s">
        <v>83</v>
      </c>
      <c r="F5" s="26"/>
    </row>
    <row r="6" spans="1:6" x14ac:dyDescent="0.2">
      <c r="A6" s="49"/>
      <c r="B6" s="45" t="s">
        <v>186</v>
      </c>
      <c r="C6" s="45"/>
      <c r="D6" s="47"/>
      <c r="E6" s="3" t="s">
        <v>34</v>
      </c>
      <c r="F6" s="10"/>
    </row>
    <row r="7" spans="1:6" x14ac:dyDescent="0.2">
      <c r="A7" s="49"/>
      <c r="B7" s="45"/>
      <c r="C7" s="45"/>
      <c r="D7" s="47"/>
      <c r="E7" s="3" t="s">
        <v>146</v>
      </c>
      <c r="F7" s="10"/>
    </row>
    <row r="8" spans="1:6" ht="17" x14ac:dyDescent="0.2">
      <c r="A8" s="12" t="s">
        <v>185</v>
      </c>
      <c r="B8" s="2" t="s">
        <v>187</v>
      </c>
      <c r="C8" s="2" t="s">
        <v>138</v>
      </c>
      <c r="D8" s="8">
        <v>2011</v>
      </c>
      <c r="F8" s="10"/>
    </row>
    <row r="9" spans="1:6" x14ac:dyDescent="0.2">
      <c r="A9" s="49" t="s">
        <v>185</v>
      </c>
      <c r="B9" s="45" t="s">
        <v>188</v>
      </c>
      <c r="C9" s="45" t="s">
        <v>143</v>
      </c>
      <c r="D9" s="47">
        <v>2012</v>
      </c>
      <c r="E9" s="3" t="s">
        <v>7</v>
      </c>
      <c r="F9" s="26"/>
    </row>
    <row r="10" spans="1:6" x14ac:dyDescent="0.2">
      <c r="A10" s="49"/>
      <c r="B10" s="45"/>
      <c r="C10" s="45"/>
      <c r="D10" s="47"/>
      <c r="E10" s="3" t="s">
        <v>34</v>
      </c>
      <c r="F10" s="10"/>
    </row>
    <row r="11" spans="1:6" x14ac:dyDescent="0.2">
      <c r="A11" s="49"/>
      <c r="B11" s="45"/>
      <c r="C11" s="45"/>
      <c r="D11" s="47"/>
      <c r="E11" s="3" t="s">
        <v>146</v>
      </c>
      <c r="F11" s="10"/>
    </row>
    <row r="12" spans="1:6" x14ac:dyDescent="0.2">
      <c r="A12" s="49"/>
      <c r="B12" s="45"/>
      <c r="C12" s="45"/>
      <c r="D12" s="47"/>
      <c r="E12" s="3" t="s">
        <v>9</v>
      </c>
      <c r="F12" s="26"/>
    </row>
    <row r="13" spans="1:6" x14ac:dyDescent="0.2">
      <c r="A13" s="49" t="s">
        <v>185</v>
      </c>
      <c r="B13" s="45" t="s">
        <v>189</v>
      </c>
      <c r="C13" s="45" t="s">
        <v>145</v>
      </c>
      <c r="D13" s="47">
        <v>2013</v>
      </c>
      <c r="E13" s="3" t="s">
        <v>34</v>
      </c>
      <c r="F13" s="26"/>
    </row>
    <row r="14" spans="1:6" x14ac:dyDescent="0.2">
      <c r="A14" s="49"/>
      <c r="B14" s="45"/>
      <c r="C14" s="45"/>
      <c r="D14" s="47"/>
      <c r="E14" s="3" t="s">
        <v>146</v>
      </c>
      <c r="F14" s="26"/>
    </row>
    <row r="15" spans="1:6" x14ac:dyDescent="0.2">
      <c r="A15" s="49" t="s">
        <v>185</v>
      </c>
      <c r="B15" s="45" t="s">
        <v>191</v>
      </c>
      <c r="C15" s="45" t="s">
        <v>149</v>
      </c>
      <c r="D15" s="47">
        <v>2016</v>
      </c>
      <c r="E15" s="3" t="s">
        <v>7</v>
      </c>
      <c r="F15" s="10"/>
    </row>
    <row r="16" spans="1:6" x14ac:dyDescent="0.2">
      <c r="A16" s="49"/>
      <c r="B16" s="45"/>
      <c r="C16" s="45"/>
      <c r="D16" s="47"/>
      <c r="E16" s="3" t="s">
        <v>146</v>
      </c>
      <c r="F16" s="10"/>
    </row>
    <row r="17" spans="1:6" x14ac:dyDescent="0.2">
      <c r="A17" s="49" t="s">
        <v>185</v>
      </c>
      <c r="B17" s="45" t="s">
        <v>190</v>
      </c>
      <c r="C17" s="45" t="s">
        <v>152</v>
      </c>
      <c r="D17" s="47">
        <v>2020</v>
      </c>
      <c r="E17" s="3" t="s">
        <v>7</v>
      </c>
      <c r="F17" s="10"/>
    </row>
    <row r="18" spans="1:6" x14ac:dyDescent="0.2">
      <c r="A18" s="49"/>
      <c r="B18" s="45"/>
      <c r="C18" s="45"/>
      <c r="D18" s="47"/>
      <c r="E18" s="3" t="s">
        <v>146</v>
      </c>
      <c r="F18" s="10"/>
    </row>
    <row r="19" spans="1:6" x14ac:dyDescent="0.2">
      <c r="A19" s="49" t="s">
        <v>192</v>
      </c>
      <c r="B19" s="45" t="s">
        <v>193</v>
      </c>
      <c r="C19" s="45" t="s">
        <v>53</v>
      </c>
      <c r="D19" s="47">
        <v>2022</v>
      </c>
      <c r="E19" s="3" t="s">
        <v>7</v>
      </c>
      <c r="F19" s="10"/>
    </row>
    <row r="20" spans="1:6" x14ac:dyDescent="0.2">
      <c r="A20" s="49"/>
      <c r="B20" s="45"/>
      <c r="C20" s="45"/>
      <c r="D20" s="47"/>
      <c r="E20" s="3" t="s">
        <v>34</v>
      </c>
      <c r="F20" s="10"/>
    </row>
    <row r="21" spans="1:6" x14ac:dyDescent="0.2">
      <c r="A21" s="49"/>
      <c r="B21" s="45"/>
      <c r="C21" s="45"/>
      <c r="D21" s="47"/>
      <c r="E21" s="3" t="s">
        <v>146</v>
      </c>
      <c r="F21" s="10"/>
    </row>
    <row r="22" spans="1:6" ht="17" customHeight="1" x14ac:dyDescent="0.2">
      <c r="A22" s="49" t="s">
        <v>195</v>
      </c>
      <c r="B22" s="2" t="s">
        <v>194</v>
      </c>
      <c r="C22" s="45"/>
      <c r="D22" s="47"/>
      <c r="F22" s="10"/>
    </row>
    <row r="23" spans="1:6" x14ac:dyDescent="0.2">
      <c r="A23" s="49"/>
      <c r="B23" s="2" t="s">
        <v>196</v>
      </c>
      <c r="C23" s="45"/>
      <c r="D23" s="47"/>
      <c r="E23" s="3" t="s">
        <v>114</v>
      </c>
      <c r="F23" s="10"/>
    </row>
    <row r="24" spans="1:6" ht="16" customHeight="1" x14ac:dyDescent="0.2">
      <c r="A24" s="49" t="s">
        <v>201</v>
      </c>
      <c r="B24" s="2" t="s">
        <v>197</v>
      </c>
      <c r="C24" s="45"/>
      <c r="D24" s="47"/>
      <c r="F24" s="10"/>
    </row>
    <row r="25" spans="1:6" x14ac:dyDescent="0.2">
      <c r="A25" s="49"/>
      <c r="B25" s="2" t="s">
        <v>199</v>
      </c>
      <c r="C25" s="45"/>
      <c r="D25" s="47"/>
      <c r="E25" s="3" t="s">
        <v>93</v>
      </c>
      <c r="F25" s="10"/>
    </row>
    <row r="26" spans="1:6" x14ac:dyDescent="0.2">
      <c r="A26" s="49"/>
      <c r="B26" s="2" t="s">
        <v>198</v>
      </c>
      <c r="C26" s="45"/>
      <c r="D26" s="47"/>
      <c r="E26" s="3" t="s">
        <v>200</v>
      </c>
      <c r="F26" s="10"/>
    </row>
    <row r="27" spans="1:6" ht="17" customHeight="1" x14ac:dyDescent="0.2">
      <c r="A27" s="49" t="s">
        <v>192</v>
      </c>
      <c r="B27" s="45" t="s">
        <v>202</v>
      </c>
      <c r="C27" s="45" t="s">
        <v>43</v>
      </c>
      <c r="D27" s="47">
        <v>2022</v>
      </c>
      <c r="E27" s="3" t="s">
        <v>102</v>
      </c>
      <c r="F27" s="44"/>
    </row>
    <row r="28" spans="1:6" x14ac:dyDescent="0.2">
      <c r="A28" s="49"/>
      <c r="B28" s="45"/>
      <c r="C28" s="45"/>
      <c r="D28" s="47"/>
      <c r="E28" s="3" t="s">
        <v>103</v>
      </c>
      <c r="F28" s="10"/>
    </row>
    <row r="29" spans="1:6" ht="17" x14ac:dyDescent="0.2">
      <c r="A29" s="12" t="s">
        <v>195</v>
      </c>
      <c r="B29" s="2" t="s">
        <v>203</v>
      </c>
      <c r="C29" s="45"/>
      <c r="D29" s="47"/>
      <c r="F29" s="10"/>
    </row>
    <row r="30" spans="1:6" ht="17" x14ac:dyDescent="0.2">
      <c r="A30" s="12" t="s">
        <v>195</v>
      </c>
      <c r="B30" s="2" t="s">
        <v>205</v>
      </c>
      <c r="C30" s="45" t="s">
        <v>206</v>
      </c>
      <c r="D30" s="47">
        <v>2023</v>
      </c>
      <c r="E30" s="3" t="s">
        <v>172</v>
      </c>
      <c r="F30" s="10"/>
    </row>
    <row r="31" spans="1:6" ht="34" x14ac:dyDescent="0.2">
      <c r="A31" s="12" t="s">
        <v>201</v>
      </c>
      <c r="B31" s="2" t="s">
        <v>204</v>
      </c>
      <c r="C31" s="45"/>
      <c r="D31" s="47"/>
      <c r="E31" s="3" t="s">
        <v>172</v>
      </c>
      <c r="F31" s="10"/>
    </row>
    <row r="32" spans="1:6" x14ac:dyDescent="0.2">
      <c r="A32" s="55" t="s">
        <v>185</v>
      </c>
      <c r="B32" s="56" t="s">
        <v>405</v>
      </c>
      <c r="C32" s="57" t="s">
        <v>400</v>
      </c>
      <c r="D32" s="58">
        <v>2025</v>
      </c>
      <c r="E32" s="52" t="s">
        <v>34</v>
      </c>
      <c r="F32" s="59"/>
    </row>
    <row r="33" spans="1:6" x14ac:dyDescent="0.2">
      <c r="A33" s="55"/>
      <c r="B33" s="56"/>
      <c r="C33" s="57"/>
      <c r="D33" s="58"/>
      <c r="E33" s="52" t="s">
        <v>146</v>
      </c>
      <c r="F33" s="53"/>
    </row>
    <row r="34" spans="1:6" x14ac:dyDescent="0.2">
      <c r="A34" s="55"/>
      <c r="B34" s="56"/>
      <c r="C34" s="57"/>
      <c r="D34" s="58"/>
      <c r="E34" s="52" t="s">
        <v>403</v>
      </c>
      <c r="F34" s="54"/>
    </row>
    <row r="35" spans="1:6" x14ac:dyDescent="0.2">
      <c r="A35" s="55"/>
      <c r="B35" s="56"/>
      <c r="C35" s="57"/>
      <c r="D35" s="58"/>
      <c r="E35" s="52" t="s">
        <v>404</v>
      </c>
      <c r="F35" s="54"/>
    </row>
    <row r="36" spans="1:6" x14ac:dyDescent="0.2">
      <c r="A36" s="55"/>
      <c r="B36" s="51" t="s">
        <v>406</v>
      </c>
      <c r="C36" s="57"/>
      <c r="D36" s="58"/>
      <c r="E36" s="52" t="s">
        <v>114</v>
      </c>
      <c r="F36" s="54"/>
    </row>
  </sheetData>
  <mergeCells count="37">
    <mergeCell ref="A32:A36"/>
    <mergeCell ref="B32:B35"/>
    <mergeCell ref="C32:C36"/>
    <mergeCell ref="D32:D36"/>
    <mergeCell ref="A9:A12"/>
    <mergeCell ref="B9:B12"/>
    <mergeCell ref="C9:C12"/>
    <mergeCell ref="D9:D12"/>
    <mergeCell ref="A2:A7"/>
    <mergeCell ref="B2:B5"/>
    <mergeCell ref="C2:C7"/>
    <mergeCell ref="D2:D7"/>
    <mergeCell ref="B6:B7"/>
    <mergeCell ref="A13:A14"/>
    <mergeCell ref="B13:B14"/>
    <mergeCell ref="C13:C14"/>
    <mergeCell ref="D13:D14"/>
    <mergeCell ref="A15:A16"/>
    <mergeCell ref="B15:B16"/>
    <mergeCell ref="C15:C16"/>
    <mergeCell ref="D15:D16"/>
    <mergeCell ref="A17:A18"/>
    <mergeCell ref="B17:B18"/>
    <mergeCell ref="C17:C18"/>
    <mergeCell ref="D17:D18"/>
    <mergeCell ref="A19:A21"/>
    <mergeCell ref="B19:B21"/>
    <mergeCell ref="C19:C26"/>
    <mergeCell ref="A22:A23"/>
    <mergeCell ref="C30:C31"/>
    <mergeCell ref="D30:D31"/>
    <mergeCell ref="A24:A26"/>
    <mergeCell ref="D19:D26"/>
    <mergeCell ref="C27:C29"/>
    <mergeCell ref="A27:A28"/>
    <mergeCell ref="B27:B28"/>
    <mergeCell ref="D27:D29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F126-501F-E445-A112-2C3205D328C4}">
  <sheetPr codeName="Sheet10">
    <tabColor rgb="FF4B3E7F"/>
  </sheetPr>
  <dimension ref="A1:F21"/>
  <sheetViews>
    <sheetView tabSelected="1" workbookViewId="0">
      <selection activeCell="F3" sqref="F3"/>
    </sheetView>
  </sheetViews>
  <sheetFormatPr baseColWidth="10" defaultRowHeight="16" x14ac:dyDescent="0.2"/>
  <cols>
    <col min="1" max="1" width="20.83203125" style="12" customWidth="1"/>
    <col min="2" max="2" width="12.83203125" style="2" customWidth="1"/>
    <col min="3" max="3" width="30.83203125" style="2" customWidth="1"/>
    <col min="4" max="4" width="10.83203125" style="8"/>
    <col min="5" max="5" width="30.83203125" style="3" customWidth="1"/>
  </cols>
  <sheetData>
    <row r="1" spans="1:6" s="30" customFormat="1" ht="17" x14ac:dyDescent="0.2">
      <c r="A1" s="27" t="s">
        <v>1</v>
      </c>
      <c r="B1" s="28" t="s">
        <v>0</v>
      </c>
      <c r="C1" s="28" t="s">
        <v>2</v>
      </c>
      <c r="D1" s="29" t="s">
        <v>12</v>
      </c>
      <c r="E1" s="28" t="s">
        <v>6</v>
      </c>
      <c r="F1" s="30" t="s">
        <v>13</v>
      </c>
    </row>
    <row r="2" spans="1:6" ht="17" customHeight="1" x14ac:dyDescent="0.2">
      <c r="A2" s="49" t="s">
        <v>159</v>
      </c>
      <c r="B2" s="45" t="s">
        <v>160</v>
      </c>
      <c r="C2" s="45" t="s">
        <v>161</v>
      </c>
      <c r="D2" s="47">
        <v>2023</v>
      </c>
      <c r="E2" s="3" t="s">
        <v>7</v>
      </c>
      <c r="F2" s="10"/>
    </row>
    <row r="3" spans="1:6" x14ac:dyDescent="0.2">
      <c r="A3" s="49"/>
      <c r="B3" s="45"/>
      <c r="C3" s="45"/>
      <c r="D3" s="47"/>
      <c r="E3" s="3" t="s">
        <v>146</v>
      </c>
      <c r="F3" s="10"/>
    </row>
    <row r="4" spans="1:6" x14ac:dyDescent="0.2">
      <c r="A4" s="49"/>
      <c r="B4" s="45"/>
      <c r="C4" s="45"/>
      <c r="D4" s="47"/>
      <c r="E4" s="3" t="s">
        <v>162</v>
      </c>
      <c r="F4" s="26"/>
    </row>
    <row r="5" spans="1:6" x14ac:dyDescent="0.2">
      <c r="A5" s="49"/>
      <c r="B5" s="45"/>
      <c r="C5" s="45"/>
      <c r="D5" s="47"/>
      <c r="E5" s="3" t="s">
        <v>163</v>
      </c>
      <c r="F5" s="26"/>
    </row>
    <row r="6" spans="1:6" x14ac:dyDescent="0.2">
      <c r="A6" s="49"/>
      <c r="B6" s="45"/>
      <c r="C6" s="45"/>
      <c r="D6" s="47"/>
      <c r="E6" s="3" t="s">
        <v>164</v>
      </c>
      <c r="F6" s="26"/>
    </row>
    <row r="7" spans="1:6" x14ac:dyDescent="0.2">
      <c r="A7" s="49"/>
      <c r="B7" s="45"/>
      <c r="C7" s="45"/>
      <c r="D7" s="47"/>
      <c r="E7" s="3" t="s">
        <v>165</v>
      </c>
      <c r="F7" s="26"/>
    </row>
    <row r="8" spans="1:6" x14ac:dyDescent="0.2">
      <c r="A8" s="49"/>
      <c r="B8" s="45"/>
      <c r="C8" s="45"/>
      <c r="D8" s="47"/>
      <c r="E8" s="3" t="s">
        <v>166</v>
      </c>
      <c r="F8" s="26"/>
    </row>
    <row r="9" spans="1:6" x14ac:dyDescent="0.2">
      <c r="A9" s="49"/>
      <c r="B9" s="45"/>
      <c r="C9" s="45"/>
      <c r="D9" s="47"/>
      <c r="E9" s="3" t="s">
        <v>98</v>
      </c>
      <c r="F9" s="26"/>
    </row>
    <row r="10" spans="1:6" x14ac:dyDescent="0.2">
      <c r="A10" s="49"/>
      <c r="B10" s="45"/>
      <c r="C10" s="45"/>
      <c r="D10" s="47"/>
      <c r="E10" s="3" t="s">
        <v>167</v>
      </c>
      <c r="F10" s="26"/>
    </row>
    <row r="11" spans="1:6" x14ac:dyDescent="0.2">
      <c r="A11" s="49"/>
      <c r="B11" s="45"/>
      <c r="C11" s="45"/>
      <c r="D11" s="47"/>
      <c r="E11" s="3" t="s">
        <v>168</v>
      </c>
      <c r="F11" s="26"/>
    </row>
    <row r="12" spans="1:6" x14ac:dyDescent="0.2">
      <c r="A12" s="49"/>
      <c r="B12" s="2" t="s">
        <v>169</v>
      </c>
      <c r="C12" s="45"/>
      <c r="D12" s="47"/>
      <c r="E12" s="3" t="s">
        <v>172</v>
      </c>
      <c r="F12" s="44"/>
    </row>
    <row r="13" spans="1:6" x14ac:dyDescent="0.2">
      <c r="A13" s="49"/>
      <c r="B13" s="2" t="s">
        <v>170</v>
      </c>
      <c r="C13" s="45"/>
      <c r="D13" s="47"/>
      <c r="E13" s="3" t="s">
        <v>171</v>
      </c>
      <c r="F13" s="10"/>
    </row>
    <row r="14" spans="1:6" x14ac:dyDescent="0.2">
      <c r="A14" s="49" t="s">
        <v>159</v>
      </c>
      <c r="B14" s="45" t="s">
        <v>173</v>
      </c>
      <c r="C14" s="45" t="s">
        <v>58</v>
      </c>
      <c r="D14" s="47">
        <v>2023</v>
      </c>
      <c r="E14" s="3" t="s">
        <v>7</v>
      </c>
      <c r="F14" s="10"/>
    </row>
    <row r="15" spans="1:6" x14ac:dyDescent="0.2">
      <c r="A15" s="49"/>
      <c r="B15" s="45"/>
      <c r="C15" s="45"/>
      <c r="D15" s="47"/>
      <c r="E15" s="3" t="s">
        <v>146</v>
      </c>
      <c r="F15" s="10"/>
    </row>
    <row r="16" spans="1:6" ht="17" x14ac:dyDescent="0.2">
      <c r="A16" s="12" t="s">
        <v>159</v>
      </c>
      <c r="B16" s="2" t="s">
        <v>174</v>
      </c>
      <c r="C16" s="2" t="s">
        <v>175</v>
      </c>
      <c r="D16" s="8">
        <v>2024</v>
      </c>
      <c r="E16" s="3" t="s">
        <v>171</v>
      </c>
      <c r="F16" s="10"/>
    </row>
    <row r="17" spans="1:6" ht="17" customHeight="1" x14ac:dyDescent="0.2">
      <c r="A17" s="49" t="s">
        <v>394</v>
      </c>
      <c r="B17" s="45" t="s">
        <v>395</v>
      </c>
      <c r="C17" s="45" t="s">
        <v>397</v>
      </c>
      <c r="D17" s="47">
        <v>2025</v>
      </c>
      <c r="E17" s="3" t="s">
        <v>7</v>
      </c>
      <c r="F17" s="26"/>
    </row>
    <row r="18" spans="1:6" x14ac:dyDescent="0.2">
      <c r="A18" s="49"/>
      <c r="B18" s="45"/>
      <c r="C18" s="45"/>
      <c r="D18" s="47"/>
      <c r="E18" s="3" t="s">
        <v>146</v>
      </c>
      <c r="F18" s="26"/>
    </row>
    <row r="19" spans="1:6" x14ac:dyDescent="0.2">
      <c r="A19" s="49"/>
      <c r="B19" s="45"/>
      <c r="C19" s="45"/>
      <c r="D19" s="47"/>
      <c r="E19" s="3" t="s">
        <v>398</v>
      </c>
      <c r="F19" s="26"/>
    </row>
    <row r="20" spans="1:6" x14ac:dyDescent="0.2">
      <c r="A20" s="49"/>
      <c r="B20" s="45"/>
      <c r="C20" s="45"/>
      <c r="D20" s="47"/>
      <c r="E20" s="3" t="s">
        <v>399</v>
      </c>
      <c r="F20" s="26"/>
    </row>
    <row r="21" spans="1:6" x14ac:dyDescent="0.2">
      <c r="A21" s="49"/>
      <c r="B21" s="2" t="s">
        <v>396</v>
      </c>
      <c r="C21" s="45"/>
      <c r="D21" s="47"/>
      <c r="E21" s="3" t="s">
        <v>172</v>
      </c>
      <c r="F21" s="11"/>
    </row>
  </sheetData>
  <mergeCells count="12">
    <mergeCell ref="A17:A21"/>
    <mergeCell ref="B17:B20"/>
    <mergeCell ref="C17:C21"/>
    <mergeCell ref="D17:D21"/>
    <mergeCell ref="B2:B11"/>
    <mergeCell ref="C2:C13"/>
    <mergeCell ref="D2:D13"/>
    <mergeCell ref="A2:A13"/>
    <mergeCell ref="B14:B15"/>
    <mergeCell ref="A14:A15"/>
    <mergeCell ref="D14:D15"/>
    <mergeCell ref="C14:C1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F3D8D-F802-7248-B7E5-E8F80BEDA820}">
  <sheetPr codeName="Sheet11">
    <tabColor rgb="FF7030A0"/>
  </sheetPr>
  <dimension ref="A1:F100"/>
  <sheetViews>
    <sheetView zoomScale="94" zoomScaleNormal="94" workbookViewId="0">
      <selection activeCell="C2" sqref="C2:C13"/>
    </sheetView>
  </sheetViews>
  <sheetFormatPr baseColWidth="10" defaultRowHeight="16" x14ac:dyDescent="0.2"/>
  <cols>
    <col min="1" max="1" width="20.83203125" style="12" customWidth="1"/>
    <col min="2" max="2" width="12.83203125" style="2" customWidth="1"/>
    <col min="3" max="3" width="30.83203125" style="2" customWidth="1"/>
    <col min="4" max="4" width="10.83203125" style="8"/>
    <col min="5" max="5" width="20.83203125" style="3" customWidth="1"/>
  </cols>
  <sheetData>
    <row r="1" spans="1:6" s="38" customFormat="1" ht="17" x14ac:dyDescent="0.2">
      <c r="A1" s="35" t="s">
        <v>1</v>
      </c>
      <c r="B1" s="36" t="s">
        <v>0</v>
      </c>
      <c r="C1" s="36" t="s">
        <v>211</v>
      </c>
      <c r="D1" s="37" t="s">
        <v>12</v>
      </c>
      <c r="E1" s="36" t="s">
        <v>6</v>
      </c>
      <c r="F1" s="38" t="s">
        <v>13</v>
      </c>
    </row>
    <row r="2" spans="1:6" ht="17" customHeight="1" x14ac:dyDescent="0.2">
      <c r="A2" s="49" t="s">
        <v>212</v>
      </c>
      <c r="B2" s="45" t="s">
        <v>219</v>
      </c>
      <c r="C2" s="45" t="s">
        <v>218</v>
      </c>
      <c r="D2" s="47">
        <v>2023</v>
      </c>
      <c r="E2" s="3" t="s">
        <v>34</v>
      </c>
      <c r="F2" s="10"/>
    </row>
    <row r="3" spans="1:6" x14ac:dyDescent="0.2">
      <c r="A3" s="49"/>
      <c r="B3" s="45"/>
      <c r="C3" s="45"/>
      <c r="D3" s="47"/>
      <c r="E3" s="3" t="s">
        <v>146</v>
      </c>
      <c r="F3" s="10"/>
    </row>
    <row r="4" spans="1:6" ht="17" customHeight="1" x14ac:dyDescent="0.2">
      <c r="A4" s="49" t="s">
        <v>213</v>
      </c>
      <c r="B4" s="45" t="s">
        <v>220</v>
      </c>
      <c r="C4" s="45"/>
      <c r="D4" s="47"/>
      <c r="E4" s="3" t="s">
        <v>34</v>
      </c>
      <c r="F4" s="10"/>
    </row>
    <row r="5" spans="1:6" x14ac:dyDescent="0.2">
      <c r="A5" s="49"/>
      <c r="B5" s="45"/>
      <c r="C5" s="45"/>
      <c r="D5" s="47"/>
      <c r="E5" s="3" t="s">
        <v>146</v>
      </c>
      <c r="F5" s="10"/>
    </row>
    <row r="6" spans="1:6" ht="17" customHeight="1" x14ac:dyDescent="0.2">
      <c r="A6" s="49" t="s">
        <v>214</v>
      </c>
      <c r="B6" s="45" t="s">
        <v>221</v>
      </c>
      <c r="C6" s="45"/>
      <c r="D6" s="47"/>
      <c r="E6" s="3" t="s">
        <v>34</v>
      </c>
      <c r="F6" s="10"/>
    </row>
    <row r="7" spans="1:6" x14ac:dyDescent="0.2">
      <c r="A7" s="49"/>
      <c r="B7" s="45"/>
      <c r="C7" s="45"/>
      <c r="D7" s="47"/>
      <c r="E7" s="3" t="s">
        <v>146</v>
      </c>
      <c r="F7" s="10"/>
    </row>
    <row r="8" spans="1:6" ht="17" customHeight="1" x14ac:dyDescent="0.2">
      <c r="A8" s="49" t="s">
        <v>215</v>
      </c>
      <c r="B8" s="45" t="s">
        <v>222</v>
      </c>
      <c r="C8" s="45"/>
      <c r="D8" s="47"/>
      <c r="E8" s="3" t="s">
        <v>34</v>
      </c>
      <c r="F8" s="10"/>
    </row>
    <row r="9" spans="1:6" x14ac:dyDescent="0.2">
      <c r="A9" s="49"/>
      <c r="B9" s="45"/>
      <c r="C9" s="45"/>
      <c r="D9" s="47"/>
      <c r="E9" s="3" t="s">
        <v>146</v>
      </c>
      <c r="F9" s="10"/>
    </row>
    <row r="10" spans="1:6" ht="17" customHeight="1" x14ac:dyDescent="0.2">
      <c r="A10" s="49" t="s">
        <v>216</v>
      </c>
      <c r="B10" s="45" t="s">
        <v>223</v>
      </c>
      <c r="C10" s="45"/>
      <c r="D10" s="47"/>
      <c r="E10" s="3" t="s">
        <v>34</v>
      </c>
      <c r="F10" s="10"/>
    </row>
    <row r="11" spans="1:6" x14ac:dyDescent="0.2">
      <c r="A11" s="49"/>
      <c r="B11" s="45"/>
      <c r="C11" s="45"/>
      <c r="D11" s="47"/>
      <c r="E11" s="3" t="s">
        <v>146</v>
      </c>
      <c r="F11" s="26"/>
    </row>
    <row r="12" spans="1:6" ht="17" customHeight="1" x14ac:dyDescent="0.2">
      <c r="A12" s="49" t="s">
        <v>217</v>
      </c>
      <c r="B12" s="45" t="s">
        <v>224</v>
      </c>
      <c r="C12" s="45"/>
      <c r="D12" s="47"/>
      <c r="E12" s="3" t="s">
        <v>34</v>
      </c>
      <c r="F12" s="10"/>
    </row>
    <row r="13" spans="1:6" x14ac:dyDescent="0.2">
      <c r="A13" s="49"/>
      <c r="B13" s="45"/>
      <c r="C13" s="45"/>
      <c r="D13" s="47"/>
      <c r="E13" s="3" t="s">
        <v>146</v>
      </c>
      <c r="F13" s="10"/>
    </row>
    <row r="14" spans="1:6" ht="17" x14ac:dyDescent="0.2">
      <c r="A14" s="12" t="s">
        <v>225</v>
      </c>
      <c r="B14" s="2" t="s">
        <v>229</v>
      </c>
      <c r="C14" s="45" t="s">
        <v>234</v>
      </c>
      <c r="D14" s="47"/>
      <c r="F14" s="26"/>
    </row>
    <row r="15" spans="1:6" ht="17" x14ac:dyDescent="0.2">
      <c r="A15" s="12" t="s">
        <v>226</v>
      </c>
      <c r="B15" s="2" t="s">
        <v>230</v>
      </c>
      <c r="C15" s="45"/>
      <c r="D15" s="47"/>
      <c r="F15" s="26"/>
    </row>
    <row r="16" spans="1:6" ht="17" x14ac:dyDescent="0.2">
      <c r="A16" s="12" t="s">
        <v>227</v>
      </c>
      <c r="B16" s="2" t="s">
        <v>231</v>
      </c>
      <c r="C16" s="45"/>
      <c r="D16" s="47"/>
      <c r="F16" s="10"/>
    </row>
    <row r="17" spans="1:6" ht="34" x14ac:dyDescent="0.2">
      <c r="A17" s="12" t="s">
        <v>393</v>
      </c>
      <c r="B17" s="2" t="s">
        <v>232</v>
      </c>
      <c r="C17" s="45"/>
      <c r="D17" s="47"/>
      <c r="F17" s="26"/>
    </row>
    <row r="18" spans="1:6" ht="17" x14ac:dyDescent="0.2">
      <c r="A18" s="12" t="s">
        <v>228</v>
      </c>
      <c r="B18" s="2" t="s">
        <v>233</v>
      </c>
      <c r="C18" s="45"/>
      <c r="D18" s="47"/>
      <c r="F18" s="26"/>
    </row>
    <row r="19" spans="1:6" ht="17" x14ac:dyDescent="0.2">
      <c r="A19" s="12" t="s">
        <v>235</v>
      </c>
      <c r="B19" s="2" t="s">
        <v>236</v>
      </c>
      <c r="C19" s="2" t="s">
        <v>237</v>
      </c>
      <c r="D19" s="47"/>
      <c r="F19" s="26"/>
    </row>
    <row r="20" spans="1:6" ht="17" x14ac:dyDescent="0.2">
      <c r="A20" s="12" t="s">
        <v>238</v>
      </c>
      <c r="B20" s="2" t="s">
        <v>260</v>
      </c>
      <c r="C20" s="45" t="s">
        <v>372</v>
      </c>
      <c r="D20" s="47"/>
      <c r="F20" s="26"/>
    </row>
    <row r="21" spans="1:6" ht="17" x14ac:dyDescent="0.2">
      <c r="A21" s="12" t="s">
        <v>239</v>
      </c>
      <c r="B21" s="2" t="s">
        <v>261</v>
      </c>
      <c r="C21" s="45"/>
      <c r="D21" s="47"/>
      <c r="F21" s="10"/>
    </row>
    <row r="22" spans="1:6" ht="17" x14ac:dyDescent="0.2">
      <c r="A22" s="12" t="s">
        <v>240</v>
      </c>
      <c r="B22" s="2" t="s">
        <v>262</v>
      </c>
      <c r="C22" s="45"/>
      <c r="D22" s="47"/>
      <c r="F22" s="26"/>
    </row>
    <row r="23" spans="1:6" ht="17" x14ac:dyDescent="0.2">
      <c r="A23" s="12" t="s">
        <v>241</v>
      </c>
      <c r="B23" s="2" t="s">
        <v>263</v>
      </c>
      <c r="C23" s="45"/>
      <c r="D23" s="47"/>
      <c r="F23" s="10"/>
    </row>
    <row r="24" spans="1:6" ht="17" x14ac:dyDescent="0.2">
      <c r="A24" s="12" t="s">
        <v>242</v>
      </c>
      <c r="B24" s="2" t="s">
        <v>264</v>
      </c>
      <c r="C24" s="45"/>
      <c r="D24" s="47"/>
      <c r="F24" s="26"/>
    </row>
    <row r="25" spans="1:6" ht="16" customHeight="1" x14ac:dyDescent="0.2">
      <c r="A25" s="12" t="s">
        <v>243</v>
      </c>
      <c r="B25" s="2" t="s">
        <v>265</v>
      </c>
      <c r="C25" s="45"/>
      <c r="D25" s="47"/>
      <c r="F25" s="10"/>
    </row>
    <row r="26" spans="1:6" ht="17" x14ac:dyDescent="0.2">
      <c r="A26" s="12" t="s">
        <v>244</v>
      </c>
      <c r="B26" s="2" t="s">
        <v>266</v>
      </c>
      <c r="C26" s="45"/>
      <c r="D26" s="47"/>
      <c r="F26" s="26"/>
    </row>
    <row r="27" spans="1:6" ht="17" x14ac:dyDescent="0.2">
      <c r="A27" s="12" t="s">
        <v>245</v>
      </c>
      <c r="B27" s="2" t="s">
        <v>267</v>
      </c>
      <c r="C27" s="45"/>
      <c r="D27" s="47"/>
      <c r="F27" s="26"/>
    </row>
    <row r="28" spans="1:6" ht="17" x14ac:dyDescent="0.2">
      <c r="A28" s="12" t="s">
        <v>246</v>
      </c>
      <c r="B28" s="2" t="s">
        <v>268</v>
      </c>
      <c r="C28" s="45"/>
      <c r="D28" s="47"/>
      <c r="F28" s="10"/>
    </row>
    <row r="29" spans="1:6" ht="17" x14ac:dyDescent="0.2">
      <c r="A29" s="12" t="s">
        <v>247</v>
      </c>
      <c r="B29" s="2" t="s">
        <v>269</v>
      </c>
      <c r="C29" s="45"/>
      <c r="D29" s="47"/>
      <c r="F29" s="10"/>
    </row>
    <row r="30" spans="1:6" ht="17" x14ac:dyDescent="0.2">
      <c r="A30" s="12" t="s">
        <v>248</v>
      </c>
      <c r="B30" s="2" t="s">
        <v>270</v>
      </c>
      <c r="C30" s="45"/>
      <c r="D30" s="47"/>
      <c r="F30" s="26"/>
    </row>
    <row r="31" spans="1:6" ht="17" x14ac:dyDescent="0.2">
      <c r="A31" s="12" t="s">
        <v>249</v>
      </c>
      <c r="B31" s="2" t="s">
        <v>296</v>
      </c>
      <c r="C31" s="45"/>
      <c r="D31" s="47"/>
      <c r="F31" s="26"/>
    </row>
    <row r="32" spans="1:6" ht="17" x14ac:dyDescent="0.2">
      <c r="A32" s="12" t="s">
        <v>250</v>
      </c>
      <c r="B32" s="2" t="s">
        <v>297</v>
      </c>
      <c r="C32" s="45"/>
      <c r="D32" s="47"/>
      <c r="F32" s="26"/>
    </row>
    <row r="33" spans="1:6" ht="17" x14ac:dyDescent="0.2">
      <c r="A33" s="12" t="s">
        <v>251</v>
      </c>
      <c r="B33" s="2" t="s">
        <v>298</v>
      </c>
      <c r="C33" s="45"/>
      <c r="D33" s="47"/>
      <c r="F33" s="26"/>
    </row>
    <row r="34" spans="1:6" ht="17" x14ac:dyDescent="0.2">
      <c r="A34" s="12" t="s">
        <v>252</v>
      </c>
      <c r="B34" s="2" t="s">
        <v>299</v>
      </c>
      <c r="C34" s="45"/>
      <c r="D34" s="47"/>
      <c r="F34" s="26"/>
    </row>
    <row r="35" spans="1:6" ht="17" x14ac:dyDescent="0.2">
      <c r="A35" s="12" t="s">
        <v>253</v>
      </c>
      <c r="B35" s="2" t="s">
        <v>300</v>
      </c>
      <c r="C35" s="45"/>
      <c r="D35" s="47"/>
      <c r="F35" s="10"/>
    </row>
    <row r="36" spans="1:6" ht="17" x14ac:dyDescent="0.2">
      <c r="A36" s="12" t="s">
        <v>254</v>
      </c>
      <c r="B36" s="2" t="s">
        <v>301</v>
      </c>
      <c r="C36" s="45"/>
      <c r="D36" s="47"/>
      <c r="F36" s="26"/>
    </row>
    <row r="37" spans="1:6" ht="17" x14ac:dyDescent="0.2">
      <c r="A37" s="12" t="s">
        <v>255</v>
      </c>
      <c r="B37" s="2" t="s">
        <v>302</v>
      </c>
      <c r="C37" s="45"/>
      <c r="D37" s="47"/>
      <c r="F37" s="26"/>
    </row>
    <row r="38" spans="1:6" ht="17" x14ac:dyDescent="0.2">
      <c r="A38" s="12" t="s">
        <v>256</v>
      </c>
      <c r="B38" s="2" t="s">
        <v>303</v>
      </c>
      <c r="C38" s="45"/>
      <c r="D38" s="47"/>
      <c r="F38" s="10"/>
    </row>
    <row r="39" spans="1:6" ht="17" x14ac:dyDescent="0.2">
      <c r="A39" s="12" t="s">
        <v>257</v>
      </c>
      <c r="B39" s="2" t="s">
        <v>304</v>
      </c>
      <c r="C39" s="45"/>
      <c r="D39" s="47"/>
      <c r="F39" s="10"/>
    </row>
    <row r="40" spans="1:6" ht="17" x14ac:dyDescent="0.2">
      <c r="A40" s="12" t="s">
        <v>258</v>
      </c>
      <c r="B40" s="2" t="s">
        <v>305</v>
      </c>
      <c r="C40" s="45"/>
      <c r="D40" s="47"/>
      <c r="F40" s="26"/>
    </row>
    <row r="41" spans="1:6" ht="17" x14ac:dyDescent="0.2">
      <c r="A41" s="12" t="s">
        <v>259</v>
      </c>
      <c r="B41" s="2" t="s">
        <v>306</v>
      </c>
      <c r="C41" s="45"/>
      <c r="D41" s="47"/>
      <c r="F41" s="26"/>
    </row>
    <row r="42" spans="1:6" ht="17" x14ac:dyDescent="0.2">
      <c r="A42" s="12" t="s">
        <v>271</v>
      </c>
      <c r="B42" s="2" t="s">
        <v>307</v>
      </c>
      <c r="C42" s="45"/>
      <c r="D42" s="47"/>
      <c r="F42" s="26"/>
    </row>
    <row r="43" spans="1:6" ht="17" x14ac:dyDescent="0.2">
      <c r="A43" s="12" t="s">
        <v>272</v>
      </c>
      <c r="B43" s="2" t="s">
        <v>308</v>
      </c>
      <c r="C43" s="45"/>
      <c r="D43" s="47"/>
      <c r="F43" s="26"/>
    </row>
    <row r="44" spans="1:6" ht="17" x14ac:dyDescent="0.2">
      <c r="A44" s="12" t="s">
        <v>273</v>
      </c>
      <c r="B44" s="2" t="s">
        <v>309</v>
      </c>
      <c r="C44" s="45"/>
      <c r="D44" s="47"/>
      <c r="F44" s="26"/>
    </row>
    <row r="45" spans="1:6" ht="17" x14ac:dyDescent="0.2">
      <c r="A45" s="12" t="s">
        <v>274</v>
      </c>
      <c r="B45" s="2" t="s">
        <v>310</v>
      </c>
      <c r="C45" s="45"/>
      <c r="D45" s="47"/>
      <c r="F45" s="10"/>
    </row>
    <row r="46" spans="1:6" ht="17" x14ac:dyDescent="0.2">
      <c r="A46" s="12" t="s">
        <v>275</v>
      </c>
      <c r="B46" s="2" t="s">
        <v>311</v>
      </c>
      <c r="C46" s="45"/>
      <c r="D46" s="47"/>
      <c r="F46" s="10"/>
    </row>
    <row r="47" spans="1:6" ht="17" x14ac:dyDescent="0.2">
      <c r="A47" s="12" t="s">
        <v>276</v>
      </c>
      <c r="B47" s="2" t="s">
        <v>312</v>
      </c>
      <c r="C47" s="45"/>
      <c r="D47" s="47"/>
      <c r="F47" s="10"/>
    </row>
    <row r="48" spans="1:6" ht="17" x14ac:dyDescent="0.2">
      <c r="A48" s="12" t="s">
        <v>277</v>
      </c>
      <c r="B48" s="2" t="s">
        <v>313</v>
      </c>
      <c r="C48" s="45"/>
      <c r="D48" s="47"/>
      <c r="F48" s="10"/>
    </row>
    <row r="49" spans="1:6" ht="17" x14ac:dyDescent="0.2">
      <c r="A49" s="12" t="s">
        <v>235</v>
      </c>
      <c r="B49" s="2" t="s">
        <v>314</v>
      </c>
      <c r="C49" s="45"/>
      <c r="D49" s="47"/>
      <c r="F49" s="10"/>
    </row>
    <row r="50" spans="1:6" ht="17" x14ac:dyDescent="0.2">
      <c r="A50" s="12" t="s">
        <v>278</v>
      </c>
      <c r="B50" s="2" t="s">
        <v>315</v>
      </c>
      <c r="C50" s="45"/>
      <c r="D50" s="47"/>
      <c r="F50" s="10"/>
    </row>
    <row r="51" spans="1:6" ht="17" x14ac:dyDescent="0.2">
      <c r="A51" s="12" t="s">
        <v>279</v>
      </c>
      <c r="B51" s="2" t="s">
        <v>316</v>
      </c>
      <c r="C51" s="45"/>
      <c r="D51" s="47"/>
      <c r="F51" s="10"/>
    </row>
    <row r="52" spans="1:6" ht="17" x14ac:dyDescent="0.2">
      <c r="A52" s="12" t="s">
        <v>280</v>
      </c>
      <c r="B52" s="2" t="s">
        <v>317</v>
      </c>
      <c r="C52" s="45"/>
      <c r="D52" s="47"/>
      <c r="F52" s="10"/>
    </row>
    <row r="53" spans="1:6" ht="17" x14ac:dyDescent="0.2">
      <c r="A53" s="12" t="s">
        <v>281</v>
      </c>
      <c r="B53" s="2" t="s">
        <v>318</v>
      </c>
      <c r="C53" s="45"/>
      <c r="D53" s="47"/>
      <c r="F53" s="10"/>
    </row>
    <row r="54" spans="1:6" ht="17" x14ac:dyDescent="0.2">
      <c r="A54" s="12" t="s">
        <v>282</v>
      </c>
      <c r="B54" s="2" t="s">
        <v>319</v>
      </c>
      <c r="C54" s="45"/>
      <c r="D54" s="47"/>
      <c r="F54" s="26"/>
    </row>
    <row r="55" spans="1:6" ht="17" x14ac:dyDescent="0.2">
      <c r="A55" s="12" t="s">
        <v>283</v>
      </c>
      <c r="B55" s="2" t="s">
        <v>320</v>
      </c>
      <c r="C55" s="45"/>
      <c r="D55" s="47"/>
      <c r="F55" s="26"/>
    </row>
    <row r="56" spans="1:6" ht="17" x14ac:dyDescent="0.2">
      <c r="A56" s="12" t="s">
        <v>284</v>
      </c>
      <c r="B56" s="2" t="s">
        <v>321</v>
      </c>
      <c r="C56" s="45"/>
      <c r="D56" s="47"/>
      <c r="F56" s="26"/>
    </row>
    <row r="57" spans="1:6" ht="17" x14ac:dyDescent="0.2">
      <c r="A57" s="12" t="s">
        <v>285</v>
      </c>
      <c r="B57" s="2" t="s">
        <v>322</v>
      </c>
      <c r="C57" s="45"/>
      <c r="D57" s="47"/>
      <c r="F57" s="26"/>
    </row>
    <row r="58" spans="1:6" ht="17" x14ac:dyDescent="0.2">
      <c r="A58" s="12" t="s">
        <v>286</v>
      </c>
      <c r="B58" s="2" t="s">
        <v>323</v>
      </c>
      <c r="C58" s="45"/>
      <c r="D58" s="47"/>
      <c r="F58" s="26"/>
    </row>
    <row r="59" spans="1:6" ht="17" x14ac:dyDescent="0.2">
      <c r="A59" s="12" t="s">
        <v>287</v>
      </c>
      <c r="B59" s="2" t="s">
        <v>324</v>
      </c>
      <c r="C59" s="45"/>
      <c r="D59" s="47"/>
      <c r="F59" s="26"/>
    </row>
    <row r="60" spans="1:6" ht="17" x14ac:dyDescent="0.2">
      <c r="A60" s="12" t="s">
        <v>288</v>
      </c>
      <c r="B60" s="2" t="s">
        <v>325</v>
      </c>
      <c r="C60" s="45"/>
      <c r="D60" s="47"/>
      <c r="F60" s="26"/>
    </row>
    <row r="61" spans="1:6" ht="17" x14ac:dyDescent="0.2">
      <c r="A61" s="12" t="s">
        <v>289</v>
      </c>
      <c r="B61" s="2" t="s">
        <v>326</v>
      </c>
      <c r="C61" s="45"/>
      <c r="D61" s="47"/>
      <c r="F61" s="26"/>
    </row>
    <row r="62" spans="1:6" ht="17" x14ac:dyDescent="0.2">
      <c r="A62" s="12" t="s">
        <v>290</v>
      </c>
      <c r="B62" s="2" t="s">
        <v>327</v>
      </c>
      <c r="C62" s="45"/>
      <c r="D62" s="47"/>
      <c r="F62" s="26"/>
    </row>
    <row r="63" spans="1:6" ht="17" x14ac:dyDescent="0.2">
      <c r="A63" s="12" t="s">
        <v>291</v>
      </c>
      <c r="B63" s="2" t="s">
        <v>328</v>
      </c>
      <c r="C63" s="45"/>
      <c r="D63" s="47"/>
      <c r="F63" s="26"/>
    </row>
    <row r="64" spans="1:6" ht="17" x14ac:dyDescent="0.2">
      <c r="A64" s="12" t="s">
        <v>292</v>
      </c>
      <c r="B64" s="2" t="s">
        <v>329</v>
      </c>
      <c r="C64" s="45"/>
      <c r="D64" s="47"/>
      <c r="F64" s="26"/>
    </row>
    <row r="65" spans="1:6" ht="17" x14ac:dyDescent="0.2">
      <c r="A65" s="12" t="s">
        <v>293</v>
      </c>
      <c r="B65" s="2" t="s">
        <v>330</v>
      </c>
      <c r="C65" s="45"/>
      <c r="D65" s="47"/>
      <c r="F65" s="10"/>
    </row>
    <row r="66" spans="1:6" ht="17" x14ac:dyDescent="0.2">
      <c r="A66" s="12" t="s">
        <v>294</v>
      </c>
      <c r="B66" s="2" t="s">
        <v>295</v>
      </c>
      <c r="C66" s="45"/>
      <c r="D66" s="47"/>
      <c r="F66" s="26"/>
    </row>
    <row r="67" spans="1:6" ht="17" x14ac:dyDescent="0.2">
      <c r="A67" s="12" t="s">
        <v>331</v>
      </c>
      <c r="B67" s="2" t="s">
        <v>336</v>
      </c>
      <c r="C67" s="45"/>
      <c r="D67" s="47"/>
      <c r="F67" s="26"/>
    </row>
    <row r="68" spans="1:6" ht="17" x14ac:dyDescent="0.2">
      <c r="A68" s="12" t="s">
        <v>332</v>
      </c>
      <c r="B68" s="2" t="s">
        <v>337</v>
      </c>
      <c r="C68" s="45"/>
      <c r="D68" s="47"/>
      <c r="F68" s="26"/>
    </row>
    <row r="69" spans="1:6" ht="17" x14ac:dyDescent="0.2">
      <c r="A69" s="12" t="s">
        <v>333</v>
      </c>
      <c r="B69" s="2" t="s">
        <v>338</v>
      </c>
      <c r="C69" s="45"/>
      <c r="D69" s="47"/>
      <c r="F69" s="26"/>
    </row>
    <row r="70" spans="1:6" ht="17" x14ac:dyDescent="0.2">
      <c r="A70" s="12" t="s">
        <v>195</v>
      </c>
      <c r="B70" s="2" t="s">
        <v>205</v>
      </c>
      <c r="C70" s="45"/>
      <c r="D70" s="47"/>
      <c r="F70" s="10"/>
    </row>
    <row r="71" spans="1:6" ht="34" x14ac:dyDescent="0.2">
      <c r="A71" s="12" t="s">
        <v>201</v>
      </c>
      <c r="B71" s="2" t="s">
        <v>204</v>
      </c>
      <c r="C71" s="45"/>
      <c r="D71" s="47"/>
      <c r="F71" s="10"/>
    </row>
    <row r="72" spans="1:6" ht="17" x14ac:dyDescent="0.2">
      <c r="A72" s="12" t="s">
        <v>334</v>
      </c>
      <c r="B72" s="2" t="s">
        <v>335</v>
      </c>
      <c r="C72" s="45"/>
      <c r="D72" s="47"/>
      <c r="F72" s="26"/>
    </row>
    <row r="73" spans="1:6" ht="17" x14ac:dyDescent="0.2">
      <c r="A73" s="12" t="s">
        <v>339</v>
      </c>
      <c r="B73" s="2" t="s">
        <v>355</v>
      </c>
      <c r="C73" s="45"/>
      <c r="D73" s="47"/>
      <c r="F73" s="26"/>
    </row>
    <row r="74" spans="1:6" ht="17" x14ac:dyDescent="0.2">
      <c r="A74" s="12" t="s">
        <v>340</v>
      </c>
      <c r="B74" s="2" t="s">
        <v>356</v>
      </c>
      <c r="C74" s="45"/>
      <c r="D74" s="47"/>
      <c r="F74" s="26"/>
    </row>
    <row r="75" spans="1:6" ht="17" x14ac:dyDescent="0.2">
      <c r="A75" s="12" t="s">
        <v>341</v>
      </c>
      <c r="B75" s="2" t="s">
        <v>357</v>
      </c>
      <c r="C75" s="45"/>
      <c r="D75" s="47"/>
      <c r="F75" s="26"/>
    </row>
    <row r="76" spans="1:6" ht="17" x14ac:dyDescent="0.2">
      <c r="A76" s="12" t="s">
        <v>342</v>
      </c>
      <c r="B76" s="2" t="s">
        <v>358</v>
      </c>
      <c r="C76" s="45"/>
      <c r="D76" s="47"/>
      <c r="F76" s="26"/>
    </row>
    <row r="77" spans="1:6" ht="17" x14ac:dyDescent="0.2">
      <c r="A77" s="12" t="s">
        <v>343</v>
      </c>
      <c r="B77" s="2" t="s">
        <v>359</v>
      </c>
      <c r="C77" s="45"/>
      <c r="D77" s="47"/>
      <c r="F77" s="26"/>
    </row>
    <row r="78" spans="1:6" ht="17" x14ac:dyDescent="0.2">
      <c r="A78" s="12" t="s">
        <v>344</v>
      </c>
      <c r="B78" s="2" t="s">
        <v>360</v>
      </c>
      <c r="C78" s="45"/>
      <c r="D78" s="47"/>
      <c r="F78" s="26"/>
    </row>
    <row r="79" spans="1:6" ht="17" x14ac:dyDescent="0.2">
      <c r="A79" s="12" t="s">
        <v>345</v>
      </c>
      <c r="B79" s="2" t="s">
        <v>361</v>
      </c>
      <c r="C79" s="45"/>
      <c r="D79" s="47"/>
      <c r="F79" s="26"/>
    </row>
    <row r="80" spans="1:6" ht="17" x14ac:dyDescent="0.2">
      <c r="A80" s="12" t="s">
        <v>346</v>
      </c>
      <c r="B80" s="2" t="s">
        <v>362</v>
      </c>
      <c r="C80" s="45"/>
      <c r="D80" s="47"/>
      <c r="F80" s="26"/>
    </row>
    <row r="81" spans="1:6" ht="17" x14ac:dyDescent="0.2">
      <c r="A81" s="12" t="s">
        <v>347</v>
      </c>
      <c r="B81" s="2" t="s">
        <v>363</v>
      </c>
      <c r="C81" s="45"/>
      <c r="D81" s="47"/>
      <c r="F81" s="26"/>
    </row>
    <row r="82" spans="1:6" ht="17" x14ac:dyDescent="0.2">
      <c r="A82" s="12" t="s">
        <v>348</v>
      </c>
      <c r="B82" s="2" t="s">
        <v>364</v>
      </c>
      <c r="C82" s="45"/>
      <c r="D82" s="47"/>
      <c r="F82" s="26"/>
    </row>
    <row r="83" spans="1:6" ht="17" x14ac:dyDescent="0.2">
      <c r="A83" s="12" t="s">
        <v>349</v>
      </c>
      <c r="B83" s="2" t="s">
        <v>365</v>
      </c>
      <c r="C83" s="45"/>
      <c r="D83" s="47"/>
      <c r="F83" s="26"/>
    </row>
    <row r="84" spans="1:6" ht="17" x14ac:dyDescent="0.2">
      <c r="A84" s="12" t="s">
        <v>217</v>
      </c>
      <c r="B84" s="2" t="s">
        <v>366</v>
      </c>
      <c r="C84" s="45"/>
      <c r="D84" s="47"/>
      <c r="F84" s="10"/>
    </row>
    <row r="85" spans="1:6" ht="17" x14ac:dyDescent="0.2">
      <c r="A85" s="12" t="s">
        <v>350</v>
      </c>
      <c r="B85" s="2" t="s">
        <v>367</v>
      </c>
      <c r="C85" s="45"/>
      <c r="D85" s="47"/>
      <c r="F85" s="26"/>
    </row>
    <row r="86" spans="1:6" ht="34" x14ac:dyDescent="0.2">
      <c r="A86" s="12" t="s">
        <v>351</v>
      </c>
      <c r="B86" s="2" t="s">
        <v>368</v>
      </c>
      <c r="C86" s="45"/>
      <c r="D86" s="47"/>
      <c r="F86" s="26"/>
    </row>
    <row r="87" spans="1:6" ht="34" x14ac:dyDescent="0.2">
      <c r="A87" s="12" t="s">
        <v>352</v>
      </c>
      <c r="B87" s="2" t="s">
        <v>369</v>
      </c>
      <c r="C87" s="45"/>
      <c r="D87" s="47"/>
      <c r="F87" s="26"/>
    </row>
    <row r="88" spans="1:6" ht="17" x14ac:dyDescent="0.2">
      <c r="A88" s="12" t="s">
        <v>353</v>
      </c>
      <c r="B88" s="2" t="s">
        <v>371</v>
      </c>
      <c r="C88" s="45"/>
      <c r="D88" s="47"/>
      <c r="F88" s="10"/>
    </row>
    <row r="89" spans="1:6" ht="17" x14ac:dyDescent="0.2">
      <c r="A89" s="12" t="s">
        <v>354</v>
      </c>
      <c r="B89" s="2" t="s">
        <v>370</v>
      </c>
      <c r="C89" s="45"/>
      <c r="D89" s="47"/>
      <c r="F89" s="26"/>
    </row>
    <row r="90" spans="1:6" ht="17" x14ac:dyDescent="0.2">
      <c r="A90" s="12" t="s">
        <v>376</v>
      </c>
      <c r="B90" s="2" t="s">
        <v>373</v>
      </c>
      <c r="C90" s="45" t="s">
        <v>43</v>
      </c>
      <c r="D90" s="47"/>
      <c r="F90" s="26"/>
    </row>
    <row r="91" spans="1:6" ht="17" x14ac:dyDescent="0.2">
      <c r="A91" s="12" t="s">
        <v>377</v>
      </c>
      <c r="B91" s="2" t="s">
        <v>374</v>
      </c>
      <c r="C91" s="45"/>
      <c r="D91" s="47"/>
      <c r="F91" s="26"/>
    </row>
    <row r="92" spans="1:6" ht="17" x14ac:dyDescent="0.2">
      <c r="A92" s="12" t="s">
        <v>378</v>
      </c>
      <c r="B92" s="2" t="s">
        <v>375</v>
      </c>
      <c r="C92" s="45"/>
      <c r="D92" s="47"/>
      <c r="F92" s="26"/>
    </row>
    <row r="93" spans="1:6" ht="17" x14ac:dyDescent="0.2">
      <c r="A93" s="12" t="s">
        <v>382</v>
      </c>
      <c r="B93" s="2" t="s">
        <v>379</v>
      </c>
      <c r="C93" s="45"/>
      <c r="D93" s="47"/>
      <c r="F93" s="26"/>
    </row>
    <row r="94" spans="1:6" ht="17" x14ac:dyDescent="0.2">
      <c r="A94" s="12" t="s">
        <v>383</v>
      </c>
      <c r="B94" s="2" t="s">
        <v>380</v>
      </c>
      <c r="C94" s="45"/>
      <c r="D94" s="47"/>
      <c r="F94" s="10"/>
    </row>
    <row r="95" spans="1:6" ht="17" x14ac:dyDescent="0.2">
      <c r="A95" s="12" t="s">
        <v>384</v>
      </c>
      <c r="B95" s="2" t="s">
        <v>381</v>
      </c>
      <c r="C95" s="45"/>
      <c r="D95" s="47"/>
      <c r="F95" s="26"/>
    </row>
    <row r="96" spans="1:6" ht="17" customHeight="1" x14ac:dyDescent="0.2">
      <c r="A96" s="49" t="s">
        <v>389</v>
      </c>
      <c r="B96" s="2" t="s">
        <v>385</v>
      </c>
      <c r="C96" s="45"/>
      <c r="D96" s="47"/>
      <c r="F96" s="10"/>
    </row>
    <row r="97" spans="1:6" x14ac:dyDescent="0.2">
      <c r="A97" s="49"/>
      <c r="B97" s="2" t="s">
        <v>386</v>
      </c>
      <c r="C97" s="45"/>
      <c r="D97" s="47"/>
      <c r="F97" s="10"/>
    </row>
    <row r="98" spans="1:6" x14ac:dyDescent="0.2">
      <c r="A98" s="49"/>
      <c r="B98" s="2" t="s">
        <v>387</v>
      </c>
      <c r="C98" s="45"/>
      <c r="D98" s="47"/>
      <c r="F98" s="10"/>
    </row>
    <row r="99" spans="1:6" x14ac:dyDescent="0.2">
      <c r="A99" s="49"/>
      <c r="B99" s="2" t="s">
        <v>388</v>
      </c>
      <c r="C99" s="45"/>
      <c r="D99" s="47"/>
      <c r="F99" s="10"/>
    </row>
    <row r="100" spans="1:6" ht="17" x14ac:dyDescent="0.2">
      <c r="A100" s="12" t="s">
        <v>391</v>
      </c>
      <c r="B100" s="2" t="s">
        <v>390</v>
      </c>
      <c r="C100" s="45"/>
      <c r="D100" s="47"/>
      <c r="F100" s="10"/>
    </row>
  </sheetData>
  <mergeCells count="18">
    <mergeCell ref="A10:A11"/>
    <mergeCell ref="A12:A13"/>
    <mergeCell ref="A96:A99"/>
    <mergeCell ref="C90:C100"/>
    <mergeCell ref="D2:D100"/>
    <mergeCell ref="C14:C18"/>
    <mergeCell ref="C20:C89"/>
    <mergeCell ref="C2:C13"/>
    <mergeCell ref="B12:B13"/>
    <mergeCell ref="A2:A3"/>
    <mergeCell ref="A4:A5"/>
    <mergeCell ref="B2:B3"/>
    <mergeCell ref="B4:B5"/>
    <mergeCell ref="B6:B7"/>
    <mergeCell ref="B8:B9"/>
    <mergeCell ref="B10:B11"/>
    <mergeCell ref="A6:A7"/>
    <mergeCell ref="A8:A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3BDF-10B6-4E41-B3A1-0150DE24C4E3}">
  <sheetPr codeName="Sheet5">
    <tabColor theme="8"/>
  </sheetPr>
  <dimension ref="A1:G9"/>
  <sheetViews>
    <sheetView workbookViewId="0">
      <selection activeCell="D16" sqref="D16"/>
    </sheetView>
  </sheetViews>
  <sheetFormatPr baseColWidth="10" defaultRowHeight="16" x14ac:dyDescent="0.2"/>
  <cols>
    <col min="1" max="2" width="20.83203125" style="12" customWidth="1"/>
    <col min="3" max="3" width="12.83203125" style="2" customWidth="1"/>
    <col min="4" max="4" width="30.83203125" style="2" customWidth="1"/>
    <col min="5" max="5" width="10.83203125" style="8"/>
    <col min="6" max="6" width="20.83203125" style="3" customWidth="1"/>
  </cols>
  <sheetData>
    <row r="1" spans="1:7" s="34" customFormat="1" ht="17" x14ac:dyDescent="0.2">
      <c r="A1" s="31" t="s">
        <v>1</v>
      </c>
      <c r="B1" s="31" t="s">
        <v>155</v>
      </c>
      <c r="C1" s="32" t="s">
        <v>0</v>
      </c>
      <c r="D1" s="32" t="s">
        <v>2</v>
      </c>
      <c r="E1" s="33" t="s">
        <v>12</v>
      </c>
      <c r="F1" s="32" t="s">
        <v>6</v>
      </c>
    </row>
    <row r="2" spans="1:7" s="21" customFormat="1" x14ac:dyDescent="0.2">
      <c r="A2" s="2" t="s">
        <v>60</v>
      </c>
      <c r="B2" s="2" t="s">
        <v>3</v>
      </c>
      <c r="C2" s="2" t="s">
        <v>62</v>
      </c>
      <c r="D2" s="2" t="s">
        <v>61</v>
      </c>
      <c r="E2" s="8">
        <v>2018</v>
      </c>
      <c r="F2" s="3" t="s">
        <v>75</v>
      </c>
      <c r="G2"/>
    </row>
    <row r="3" spans="1:7" x14ac:dyDescent="0.2">
      <c r="A3" s="2" t="s">
        <v>60</v>
      </c>
      <c r="B3" s="2" t="s">
        <v>3</v>
      </c>
      <c r="C3" s="2" t="s">
        <v>63</v>
      </c>
      <c r="D3" s="2" t="s">
        <v>64</v>
      </c>
      <c r="E3" s="8">
        <v>2022</v>
      </c>
    </row>
    <row r="4" spans="1:7" x14ac:dyDescent="0.2">
      <c r="A4" s="2" t="s">
        <v>60</v>
      </c>
      <c r="B4" s="2" t="s">
        <v>3</v>
      </c>
      <c r="C4" s="2" t="s">
        <v>65</v>
      </c>
      <c r="D4" s="2" t="s">
        <v>67</v>
      </c>
      <c r="E4" s="8">
        <v>2023</v>
      </c>
      <c r="F4" s="3" t="s">
        <v>66</v>
      </c>
    </row>
    <row r="5" spans="1:7" ht="17" x14ac:dyDescent="0.2">
      <c r="A5" s="12" t="s">
        <v>118</v>
      </c>
      <c r="B5" s="12" t="s">
        <v>81</v>
      </c>
      <c r="C5" s="2" t="s">
        <v>116</v>
      </c>
      <c r="D5" s="2" t="s">
        <v>120</v>
      </c>
      <c r="E5" s="8">
        <v>2019</v>
      </c>
    </row>
    <row r="6" spans="1:7" ht="17" x14ac:dyDescent="0.2">
      <c r="A6" s="12" t="s">
        <v>118</v>
      </c>
      <c r="B6" s="12" t="s">
        <v>81</v>
      </c>
      <c r="C6" s="2" t="s">
        <v>117</v>
      </c>
      <c r="D6" s="2" t="s">
        <v>119</v>
      </c>
      <c r="E6" s="8">
        <v>2020</v>
      </c>
    </row>
    <row r="7" spans="1:7" ht="17" x14ac:dyDescent="0.2">
      <c r="A7" s="12" t="s">
        <v>158</v>
      </c>
      <c r="B7" s="12" t="s">
        <v>130</v>
      </c>
      <c r="C7" s="2" t="s">
        <v>156</v>
      </c>
      <c r="D7" s="2" t="s">
        <v>157</v>
      </c>
      <c r="E7" s="8">
        <v>2022</v>
      </c>
    </row>
    <row r="8" spans="1:7" ht="17" x14ac:dyDescent="0.2">
      <c r="A8" s="12" t="s">
        <v>207</v>
      </c>
      <c r="B8" s="12" t="s">
        <v>176</v>
      </c>
      <c r="C8" s="2" t="s">
        <v>208</v>
      </c>
      <c r="D8" s="2" t="s">
        <v>157</v>
      </c>
      <c r="E8" s="8">
        <v>2022</v>
      </c>
    </row>
    <row r="9" spans="1:7" ht="17" x14ac:dyDescent="0.2">
      <c r="A9" s="12" t="s">
        <v>210</v>
      </c>
      <c r="B9" s="12" t="s">
        <v>192</v>
      </c>
      <c r="C9" s="2" t="s">
        <v>209</v>
      </c>
      <c r="D9" s="2" t="s">
        <v>157</v>
      </c>
      <c r="E9" s="8">
        <v>2022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Completion</vt:lpstr>
      <vt:lpstr>Colours</vt:lpstr>
      <vt:lpstr>Rowlet</vt:lpstr>
      <vt:lpstr>Dartrix</vt:lpstr>
      <vt:lpstr>Decidueye</vt:lpstr>
      <vt:lpstr>Oshawott</vt:lpstr>
      <vt:lpstr>Dewott</vt:lpstr>
      <vt:lpstr>Samurott</vt:lpstr>
      <vt:lpstr>Arven</vt:lpstr>
      <vt:lpstr>Crown Zenith</vt:lpstr>
      <vt:lpstr>JP 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Elite Lu</dc:creator>
  <cp:lastModifiedBy>Elite Lu</cp:lastModifiedBy>
  <dcterms:created xsi:type="dcterms:W3CDTF">2024-07-20T02:41:51Z</dcterms:created>
  <dcterms:modified xsi:type="dcterms:W3CDTF">2025-08-11T03:24:52Z</dcterms:modified>
</cp:coreProperties>
</file>